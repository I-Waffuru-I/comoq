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ocs Frame Latency" sheetId="1" r:id="rId5"/>
    <sheet state="visible" name="Latency Log" sheetId="2" r:id="rId6"/>
  </sheets>
  <definedNames>
    <definedName name="netlat">'Latency Log'!$D$3:$D$102</definedName>
    <definedName name="lclat">'Latency Log'!$J$3:$J$102</definedName>
    <definedName name="gdlat">'GDocs Frame Latency'!$G$3:$G$63</definedName>
  </definedNames>
  <calcPr/>
</workbook>
</file>

<file path=xl/sharedStrings.xml><?xml version="1.0" encoding="utf-8"?>
<sst xmlns="http://schemas.openxmlformats.org/spreadsheetml/2006/main" count="115" uniqueCount="53">
  <si>
    <t>GDocs character latency @ 60fps</t>
  </si>
  <si>
    <t>#</t>
  </si>
  <si>
    <t>Character</t>
  </si>
  <si>
    <t>Frame Sent</t>
  </si>
  <si>
    <t>Frame Received</t>
  </si>
  <si>
    <t>Frame Latency (frames)</t>
  </si>
  <si>
    <t>Latency (ms)</t>
  </si>
  <si>
    <t>GDocs RTT reduction</t>
  </si>
  <si>
    <t>M</t>
  </si>
  <si>
    <t>O</t>
  </si>
  <si>
    <t>Q</t>
  </si>
  <si>
    <t>(space)</t>
  </si>
  <si>
    <t>T</t>
  </si>
  <si>
    <t>E</t>
  </si>
  <si>
    <t>S</t>
  </si>
  <si>
    <t>D</t>
  </si>
  <si>
    <t>A</t>
  </si>
  <si>
    <t>.</t>
  </si>
  <si>
    <t>N</t>
  </si>
  <si>
    <t>I</t>
  </si>
  <si>
    <t>G</t>
  </si>
  <si>
    <t>C</t>
  </si>
  <si>
    <t>U</t>
  </si>
  <si>
    <t>H</t>
  </si>
  <si>
    <t>/</t>
  </si>
  <si>
    <t>m</t>
  </si>
  <si>
    <t>R</t>
  </si>
  <si>
    <t>0</t>
  </si>
  <si>
    <t>!</t>
  </si>
  <si>
    <t>Summary Statistics</t>
  </si>
  <si>
    <t>Count (chars)</t>
  </si>
  <si>
    <t>Min latency (ms)</t>
  </si>
  <si>
    <t>Max latency (ms)</t>
  </si>
  <si>
    <t>Mean latency (ms)</t>
  </si>
  <si>
    <t>Median latency (ms)</t>
  </si>
  <si>
    <t>StdDev (ms)</t>
  </si>
  <si>
    <t>P95 latency (ms)</t>
  </si>
  <si>
    <t>⏱ Latency Log — Timestamp-based (1s interval messages)</t>
  </si>
  <si>
    <t>Timestamp Sent</t>
  </si>
  <si>
    <t>Timestamp Received</t>
  </si>
  <si>
    <t>Δ from prev (ms)</t>
  </si>
  <si>
    <t>Data (netw)</t>
  </si>
  <si>
    <t>Data (local)</t>
  </si>
  <si>
    <t>latency</t>
  </si>
  <si>
    <t>—</t>
  </si>
  <si>
    <t>Stats (netw)</t>
  </si>
  <si>
    <t>Stats (local)</t>
  </si>
  <si>
    <t>Count</t>
  </si>
  <si>
    <t>Latency</t>
  </si>
  <si>
    <t>min</t>
  </si>
  <si>
    <t>q1</t>
  </si>
  <si>
    <t>q3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</si>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</sst>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/>
    <font>
      <b/>
      <sz val="9.0"/>
      <color rgb="FFFFFFFF"/>
      <name val="Arial"/>
    </font>
    <font>
      <color theme="1"/>
      <name val="Calibri"/>
      <scheme val="minor"/>
    </font>
    <font>
      <sz val="9.0"/>
      <color theme="1"/>
      <name val="Arial"/>
    </font>
    <font>
      <b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4F7F"/>
        <bgColor rgb="FF2F4F7F"/>
      </patternFill>
    </fill>
    <fill>
      <patternFill patternType="solid">
        <fgColor rgb="FF4A7FC1"/>
        <bgColor rgb="FF4A7FC1"/>
      </patternFill>
    </fill>
    <fill>
      <patternFill patternType="solid">
        <fgColor rgb="FFEEF4FB"/>
        <bgColor rgb="FFEEF4FB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readingOrder="0"/>
    </xf>
    <xf borderId="4" fillId="0" fontId="5" numFmtId="0" xfId="0" applyAlignment="1" applyBorder="1" applyFont="1">
      <alignment horizontal="center"/>
    </xf>
    <xf borderId="4" fillId="0" fontId="5" numFmtId="3" xfId="0" applyAlignment="1" applyBorder="1" applyFont="1" applyNumberFormat="1">
      <alignment horizontal="right"/>
    </xf>
    <xf borderId="4" fillId="0" fontId="5" numFmtId="2" xfId="0" applyAlignment="1" applyBorder="1" applyFont="1" applyNumberFormat="1">
      <alignment horizontal="right"/>
    </xf>
    <xf borderId="0" fillId="0" fontId="4" numFmtId="2" xfId="0" applyFont="1" applyNumberFormat="1"/>
    <xf borderId="4" fillId="4" fontId="5" numFmtId="0" xfId="0" applyAlignment="1" applyBorder="1" applyFill="1" applyFont="1">
      <alignment horizontal="center"/>
    </xf>
    <xf borderId="4" fillId="4" fontId="5" numFmtId="3" xfId="0" applyAlignment="1" applyBorder="1" applyFont="1" applyNumberFormat="1">
      <alignment horizontal="right"/>
    </xf>
    <xf borderId="4" fillId="4" fontId="5" numFmtId="2" xfId="0" applyAlignment="1" applyBorder="1" applyFont="1" applyNumberFormat="1">
      <alignment horizontal="right"/>
    </xf>
    <xf borderId="4" fillId="0" fontId="5" numFmtId="3" xfId="0" applyAlignment="1" applyBorder="1" applyFont="1" applyNumberFormat="1">
      <alignment horizontal="right" readingOrder="0"/>
    </xf>
    <xf borderId="4" fillId="4" fontId="5" numFmtId="3" xfId="0" applyAlignment="1" applyBorder="1" applyFont="1" applyNumberFormat="1">
      <alignment horizontal="right" readingOrder="0"/>
    </xf>
    <xf borderId="1" fillId="3" fontId="1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left"/>
    </xf>
    <xf borderId="1" fillId="0" fontId="6" numFmtId="0" xfId="0" applyAlignment="1" applyBorder="1" applyFont="1">
      <alignment horizontal="left"/>
    </xf>
    <xf borderId="0" fillId="0" fontId="4" numFmtId="0" xfId="0" applyFont="1"/>
    <xf borderId="1" fillId="2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/>
    </xf>
    <xf borderId="4" fillId="0" fontId="5" numFmtId="164" xfId="0" applyAlignment="1" applyBorder="1" applyFont="1" applyNumberFormat="1">
      <alignment horizontal="right"/>
    </xf>
    <xf borderId="4" fillId="4" fontId="5" numFmtId="164" xfId="0" applyAlignment="1" applyBorder="1" applyFont="1" applyNumberFormat="1">
      <alignment horizontal="right"/>
    </xf>
    <xf borderId="1" fillId="3" fontId="1" numFmtId="0" xfId="0" applyAlignment="1" applyBorder="1" applyFont="1">
      <alignment horizontal="center" readingOrder="0" vertical="center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spPr>
            <a:ln cmpd="sng">
              <a:noFill/>
            </a:ln>
          </c:spPr>
          <c:marker>
            <c:symbol val="none"/>
          </c:marker>
          <c:cat>
            <c:strRef>
              <c:f>'GDocs Frame Latency'!$C$68</c:f>
            </c:strRef>
          </c:cat>
          <c:val>
            <c:numRef>
              <c:f>'GDocs Frame Latency'!$E$68</c:f>
              <c:numCache/>
            </c:numRef>
          </c:val>
          <c:smooth val="0"/>
        </c:ser>
        <c:ser>
          <c:idx val="1"/>
          <c:order val="1"/>
          <c:spPr>
            <a:ln cmpd="sng">
              <a:noFill/>
            </a:ln>
          </c:spPr>
          <c:marker>
            <c:symbol val="none"/>
          </c:marker>
          <c:cat>
            <c:strRef>
              <c:f>'GDocs Frame Latency'!$C$68</c:f>
            </c:strRef>
          </c:cat>
          <c:val>
            <c:numRef>
              <c:f>'GDocs Frame Latency'!$G$68</c:f>
              <c:numCache/>
            </c:numRef>
          </c:val>
          <c:smooth val="0"/>
        </c:ser>
        <c:ser>
          <c:idx val="2"/>
          <c:order val="2"/>
          <c:spPr>
            <a:ln cmpd="sng">
              <a:noFill/>
            </a:ln>
          </c:spPr>
          <c:marker>
            <c:symbol val="none"/>
          </c:marker>
          <c:cat>
            <c:strRef>
              <c:f>'GDocs Frame Latency'!$C$68</c:f>
            </c:strRef>
          </c:cat>
          <c:val>
            <c:numRef>
              <c:f>'GDocs Frame Latency'!$D$68</c:f>
              <c:numCache/>
            </c:numRef>
          </c:val>
          <c:smooth val="0"/>
        </c:ser>
        <c:ser>
          <c:idx val="3"/>
          <c:order val="3"/>
          <c:spPr>
            <a:ln cmpd="sng">
              <a:noFill/>
            </a:ln>
          </c:spPr>
          <c:marker>
            <c:symbol val="none"/>
          </c:marker>
          <c:cat>
            <c:strRef>
              <c:f>'GDocs Frame Latency'!$C$68</c:f>
            </c:strRef>
          </c:cat>
          <c:val>
            <c:numRef>
              <c:f>'GDocs Frame Latency'!$F$68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643448654"/>
        <c:axId val="38306468"/>
      </c:stockChart>
      <c:dateAx>
        <c:axId val="164344865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38306468"/>
      </c:dateAx>
      <c:valAx>
        <c:axId val="38306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6434486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spPr>
            <a:ln cmpd="sng">
              <a:noFill/>
            </a:ln>
          </c:spPr>
          <c:marker>
            <c:symbol val="none"/>
          </c:marker>
          <c:cat>
            <c:strRef>
              <c:f>'Latency Log'!$G$117</c:f>
            </c:strRef>
          </c:cat>
          <c:val>
            <c:numRef>
              <c:f>'Latency Log'!$I$117</c:f>
              <c:numCache/>
            </c:numRef>
          </c:val>
          <c:smooth val="0"/>
        </c:ser>
        <c:ser>
          <c:idx val="1"/>
          <c:order val="1"/>
          <c:spPr>
            <a:ln cmpd="sng">
              <a:noFill/>
            </a:ln>
          </c:spPr>
          <c:marker>
            <c:symbol val="none"/>
          </c:marker>
          <c:cat>
            <c:strRef>
              <c:f>'Latency Log'!$G$117</c:f>
            </c:strRef>
          </c:cat>
          <c:val>
            <c:numRef>
              <c:f>'Latency Log'!$K$117</c:f>
              <c:numCache/>
            </c:numRef>
          </c:val>
          <c:smooth val="0"/>
        </c:ser>
        <c:ser>
          <c:idx val="2"/>
          <c:order val="2"/>
          <c:spPr>
            <a:ln cmpd="sng">
              <a:noFill/>
            </a:ln>
          </c:spPr>
          <c:marker>
            <c:symbol val="none"/>
          </c:marker>
          <c:cat>
            <c:strRef>
              <c:f>'Latency Log'!$G$117</c:f>
            </c:strRef>
          </c:cat>
          <c:val>
            <c:numRef>
              <c:f>'Latency Log'!$H$117</c:f>
              <c:numCache/>
            </c:numRef>
          </c:val>
          <c:smooth val="0"/>
        </c:ser>
        <c:ser>
          <c:idx val="3"/>
          <c:order val="3"/>
          <c:spPr>
            <a:ln cmpd="sng">
              <a:noFill/>
            </a:ln>
          </c:spPr>
          <c:marker>
            <c:symbol val="none"/>
          </c:marker>
          <c:cat>
            <c:strRef>
              <c:f>'Latency Log'!$G$117</c:f>
            </c:strRef>
          </c:cat>
          <c:val>
            <c:numRef>
              <c:f>'Latency Log'!$J$117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881884657"/>
        <c:axId val="1091282072"/>
      </c:stockChart>
      <c:dateAx>
        <c:axId val="881884657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091282072"/>
      </c:dateAx>
      <c:valAx>
        <c:axId val="1091282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881884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spPr>
            <a:ln cmpd="sng">
              <a:noFill/>
            </a:ln>
          </c:spPr>
          <c:marker>
            <c:symbol val="none"/>
          </c:marker>
          <c:cat>
            <c:strRef>
              <c:f>'Latency Log'!$G$122</c:f>
            </c:strRef>
          </c:cat>
          <c:val>
            <c:numRef>
              <c:f>'Latency Log'!$I$122</c:f>
              <c:numCache/>
            </c:numRef>
          </c:val>
          <c:smooth val="0"/>
        </c:ser>
        <c:ser>
          <c:idx val="1"/>
          <c:order val="1"/>
          <c:spPr>
            <a:ln cmpd="sng">
              <a:noFill/>
            </a:ln>
          </c:spPr>
          <c:marker>
            <c:symbol val="none"/>
          </c:marker>
          <c:cat>
            <c:strRef>
              <c:f>'Latency Log'!$G$122</c:f>
            </c:strRef>
          </c:cat>
          <c:val>
            <c:numRef>
              <c:f>'Latency Log'!$K$122</c:f>
              <c:numCache/>
            </c:numRef>
          </c:val>
          <c:smooth val="0"/>
        </c:ser>
        <c:ser>
          <c:idx val="2"/>
          <c:order val="2"/>
          <c:spPr>
            <a:ln cmpd="sng">
              <a:noFill/>
            </a:ln>
          </c:spPr>
          <c:marker>
            <c:symbol val="none"/>
          </c:marker>
          <c:cat>
            <c:strRef>
              <c:f>'Latency Log'!$G$122</c:f>
            </c:strRef>
          </c:cat>
          <c:val>
            <c:numRef>
              <c:f>'Latency Log'!$H$122</c:f>
              <c:numCache/>
            </c:numRef>
          </c:val>
          <c:smooth val="0"/>
        </c:ser>
        <c:ser>
          <c:idx val="3"/>
          <c:order val="3"/>
          <c:spPr>
            <a:ln cmpd="sng">
              <a:noFill/>
            </a:ln>
          </c:spPr>
          <c:marker>
            <c:symbol val="none"/>
          </c:marker>
          <c:cat>
            <c:strRef>
              <c:f>'Latency Log'!$G$122</c:f>
            </c:strRef>
          </c:cat>
          <c:val>
            <c:numRef>
              <c:f>'Latency Log'!$J$122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338893900"/>
        <c:axId val="2125731613"/>
      </c:stockChart>
      <c:dateAx>
        <c:axId val="133889390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2125731613"/>
      </c:dateAx>
      <c:valAx>
        <c:axId val="2125731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338893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Chart4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390525</xdr:colOff>
      <xdr:row>3</xdr:row>
      <xdr:rowOff>47625</xdr:rowOff>
    </xdr:from>
    <xdr:ext cx="8248650" cy="4495800"/>
    <xdr:pic>
      <xdr:nvPicPr>
        <xdr:cNvPr id="42874904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39</xdr:row>
      <xdr:rowOff>123825</xdr:rowOff>
    </xdr:from>
    <xdr:ext cx="7581900" cy="4695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190500</xdr:colOff>
      <xdr:row>19</xdr:row>
      <xdr:rowOff>19050</xdr:rowOff>
    </xdr:from>
    <xdr:ext cx="8153400" cy="5000625"/>
    <xdr:pic>
      <xdr:nvPicPr>
        <xdr:cNvPr id="121656742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46</xdr:row>
      <xdr:rowOff>28575</xdr:rowOff>
    </xdr:from>
    <xdr:ext cx="8105775" cy="5000625"/>
    <xdr:pic>
      <xdr:nvPicPr>
        <xdr:cNvPr id="184291328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95</xdr:row>
      <xdr:rowOff>180975</xdr:rowOff>
    </xdr:from>
    <xdr:ext cx="6858000" cy="42386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409575</xdr:colOff>
      <xdr:row>118</xdr:row>
      <xdr:rowOff>38100</xdr:rowOff>
    </xdr:from>
    <xdr:ext cx="7181850" cy="44481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14.0"/>
    <col customWidth="1" min="4" max="4" width="16.0"/>
    <col customWidth="1" min="5" max="5" width="22.0"/>
    <col customWidth="1" min="6" max="6" width="16.0"/>
    <col customWidth="1" min="7" max="26" width="8.71"/>
  </cols>
  <sheetData>
    <row r="1" ht="21.7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H2" s="5" t="s">
        <v>7</v>
      </c>
    </row>
    <row r="3">
      <c r="A3" s="6">
        <v>1.0</v>
      </c>
      <c r="B3" s="6" t="s">
        <v>8</v>
      </c>
      <c r="C3" s="7">
        <v>1.0</v>
      </c>
      <c r="D3" s="7">
        <v>23.0</v>
      </c>
      <c r="E3" s="7">
        <f t="shared" ref="E3:E63" si="1">D3-C3</f>
        <v>22</v>
      </c>
      <c r="F3" s="8">
        <f t="shared" ref="F3:F63" si="2">E3/60*1000</f>
        <v>366.6666667</v>
      </c>
      <c r="G3" s="9">
        <f t="shared" ref="G3:G63" si="3">F3-2*$H$3</f>
        <v>286.6666667</v>
      </c>
      <c r="H3" s="5">
        <v>40.0</v>
      </c>
    </row>
    <row r="4">
      <c r="A4" s="10">
        <v>2.0</v>
      </c>
      <c r="B4" s="10" t="s">
        <v>9</v>
      </c>
      <c r="C4" s="11">
        <v>19.0</v>
      </c>
      <c r="D4" s="11">
        <v>51.0</v>
      </c>
      <c r="E4" s="7">
        <f t="shared" si="1"/>
        <v>32</v>
      </c>
      <c r="F4" s="12">
        <f t="shared" si="2"/>
        <v>533.3333333</v>
      </c>
      <c r="G4" s="9">
        <f t="shared" si="3"/>
        <v>453.3333333</v>
      </c>
    </row>
    <row r="5">
      <c r="A5" s="6">
        <v>3.0</v>
      </c>
      <c r="B5" s="6" t="s">
        <v>10</v>
      </c>
      <c r="C5" s="7">
        <v>27.0</v>
      </c>
      <c r="D5" s="7">
        <v>51.0</v>
      </c>
      <c r="E5" s="7">
        <f t="shared" si="1"/>
        <v>24</v>
      </c>
      <c r="F5" s="8">
        <f t="shared" si="2"/>
        <v>400</v>
      </c>
      <c r="G5" s="9">
        <f t="shared" si="3"/>
        <v>320</v>
      </c>
    </row>
    <row r="6">
      <c r="A6" s="10">
        <v>4.0</v>
      </c>
      <c r="B6" s="10" t="s">
        <v>11</v>
      </c>
      <c r="C6" s="11">
        <v>50.0</v>
      </c>
      <c r="D6" s="11">
        <v>76.0</v>
      </c>
      <c r="E6" s="7">
        <f t="shared" si="1"/>
        <v>26</v>
      </c>
      <c r="F6" s="12">
        <f t="shared" si="2"/>
        <v>433.3333333</v>
      </c>
      <c r="G6" s="9">
        <f t="shared" si="3"/>
        <v>353.3333333</v>
      </c>
    </row>
    <row r="7">
      <c r="A7" s="6">
        <v>5.0</v>
      </c>
      <c r="B7" s="6" t="s">
        <v>12</v>
      </c>
      <c r="C7" s="7">
        <v>71.0</v>
      </c>
      <c r="D7" s="7">
        <v>102.0</v>
      </c>
      <c r="E7" s="7">
        <f t="shared" si="1"/>
        <v>31</v>
      </c>
      <c r="F7" s="8">
        <f t="shared" si="2"/>
        <v>516.6666667</v>
      </c>
      <c r="G7" s="9">
        <f t="shared" si="3"/>
        <v>436.6666667</v>
      </c>
    </row>
    <row r="8">
      <c r="A8" s="10">
        <v>6.0</v>
      </c>
      <c r="B8" s="10" t="s">
        <v>13</v>
      </c>
      <c r="C8" s="11">
        <v>75.0</v>
      </c>
      <c r="D8" s="11">
        <v>102.0</v>
      </c>
      <c r="E8" s="7">
        <f t="shared" si="1"/>
        <v>27</v>
      </c>
      <c r="F8" s="12">
        <f t="shared" si="2"/>
        <v>450</v>
      </c>
      <c r="G8" s="9">
        <f t="shared" si="3"/>
        <v>370</v>
      </c>
    </row>
    <row r="9">
      <c r="A9" s="6">
        <v>7.0</v>
      </c>
      <c r="B9" s="6" t="s">
        <v>14</v>
      </c>
      <c r="C9" s="7">
        <v>86.0</v>
      </c>
      <c r="D9" s="7">
        <v>114.0</v>
      </c>
      <c r="E9" s="7">
        <f t="shared" si="1"/>
        <v>28</v>
      </c>
      <c r="F9" s="8">
        <f t="shared" si="2"/>
        <v>466.6666667</v>
      </c>
      <c r="G9" s="9">
        <f t="shared" si="3"/>
        <v>386.6666667</v>
      </c>
    </row>
    <row r="10">
      <c r="A10" s="10">
        <v>8.0</v>
      </c>
      <c r="B10" s="10" t="s">
        <v>12</v>
      </c>
      <c r="C10" s="11">
        <v>99.0</v>
      </c>
      <c r="D10" s="11">
        <v>161.0</v>
      </c>
      <c r="E10" s="7">
        <f t="shared" si="1"/>
        <v>62</v>
      </c>
      <c r="F10" s="12">
        <f t="shared" si="2"/>
        <v>1033.333333</v>
      </c>
      <c r="G10" s="9">
        <f t="shared" si="3"/>
        <v>953.3333333</v>
      </c>
    </row>
    <row r="11">
      <c r="A11" s="6">
        <v>9.0</v>
      </c>
      <c r="B11" s="6" t="s">
        <v>11</v>
      </c>
      <c r="C11" s="7">
        <v>103.0</v>
      </c>
      <c r="D11" s="7">
        <v>161.0</v>
      </c>
      <c r="E11" s="7">
        <f t="shared" si="1"/>
        <v>58</v>
      </c>
      <c r="F11" s="8">
        <f t="shared" si="2"/>
        <v>966.6666667</v>
      </c>
      <c r="G11" s="9">
        <f t="shared" si="3"/>
        <v>886.6666667</v>
      </c>
    </row>
    <row r="12">
      <c r="A12" s="10">
        <v>10.0</v>
      </c>
      <c r="B12" s="10" t="s">
        <v>15</v>
      </c>
      <c r="C12" s="11">
        <v>116.0</v>
      </c>
      <c r="D12" s="11">
        <v>161.0</v>
      </c>
      <c r="E12" s="7">
        <f t="shared" si="1"/>
        <v>45</v>
      </c>
      <c r="F12" s="12">
        <f t="shared" si="2"/>
        <v>750</v>
      </c>
      <c r="G12" s="9">
        <f t="shared" si="3"/>
        <v>670</v>
      </c>
    </row>
    <row r="13">
      <c r="A13" s="6">
        <v>11.0</v>
      </c>
      <c r="B13" s="6" t="s">
        <v>16</v>
      </c>
      <c r="C13" s="7">
        <v>123.0</v>
      </c>
      <c r="D13" s="7">
        <v>161.0</v>
      </c>
      <c r="E13" s="7">
        <f t="shared" si="1"/>
        <v>38</v>
      </c>
      <c r="F13" s="8">
        <f t="shared" si="2"/>
        <v>633.3333333</v>
      </c>
      <c r="G13" s="9">
        <f t="shared" si="3"/>
        <v>553.3333333</v>
      </c>
    </row>
    <row r="14">
      <c r="A14" s="10">
        <v>12.0</v>
      </c>
      <c r="B14" s="10" t="s">
        <v>12</v>
      </c>
      <c r="C14" s="11">
        <v>133.0</v>
      </c>
      <c r="D14" s="11">
        <v>172.0</v>
      </c>
      <c r="E14" s="7">
        <f t="shared" si="1"/>
        <v>39</v>
      </c>
      <c r="F14" s="12">
        <f t="shared" si="2"/>
        <v>650</v>
      </c>
      <c r="G14" s="9">
        <f t="shared" si="3"/>
        <v>570</v>
      </c>
    </row>
    <row r="15">
      <c r="A15" s="6">
        <v>13.0</v>
      </c>
      <c r="B15" s="6" t="s">
        <v>16</v>
      </c>
      <c r="C15" s="7">
        <v>142.0</v>
      </c>
      <c r="D15" s="7">
        <v>172.0</v>
      </c>
      <c r="E15" s="7">
        <f t="shared" si="1"/>
        <v>30</v>
      </c>
      <c r="F15" s="8">
        <f t="shared" si="2"/>
        <v>500</v>
      </c>
      <c r="G15" s="9">
        <f t="shared" si="3"/>
        <v>420</v>
      </c>
    </row>
    <row r="16">
      <c r="A16" s="10">
        <v>14.0</v>
      </c>
      <c r="B16" s="10" t="s">
        <v>17</v>
      </c>
      <c r="C16" s="11">
        <v>167.0</v>
      </c>
      <c r="D16" s="11">
        <v>189.0</v>
      </c>
      <c r="E16" s="7">
        <f t="shared" si="1"/>
        <v>22</v>
      </c>
      <c r="F16" s="12">
        <f t="shared" si="2"/>
        <v>366.6666667</v>
      </c>
      <c r="G16" s="9">
        <f t="shared" si="3"/>
        <v>286.6666667</v>
      </c>
    </row>
    <row r="17">
      <c r="A17" s="6">
        <v>15.0</v>
      </c>
      <c r="B17" s="6" t="s">
        <v>11</v>
      </c>
      <c r="C17" s="7">
        <v>251.0</v>
      </c>
      <c r="D17" s="7">
        <v>377.0</v>
      </c>
      <c r="E17" s="7">
        <f t="shared" si="1"/>
        <v>126</v>
      </c>
      <c r="F17" s="8">
        <f t="shared" si="2"/>
        <v>2100</v>
      </c>
      <c r="G17" s="9">
        <f t="shared" si="3"/>
        <v>2020</v>
      </c>
    </row>
    <row r="18">
      <c r="A18" s="10">
        <v>16.0</v>
      </c>
      <c r="B18" s="10" t="s">
        <v>14</v>
      </c>
      <c r="C18" s="11">
        <v>269.0</v>
      </c>
      <c r="D18" s="11">
        <v>377.0</v>
      </c>
      <c r="E18" s="7">
        <f t="shared" si="1"/>
        <v>108</v>
      </c>
      <c r="F18" s="12">
        <f t="shared" si="2"/>
        <v>1800</v>
      </c>
      <c r="G18" s="9">
        <f t="shared" si="3"/>
        <v>1720</v>
      </c>
    </row>
    <row r="19">
      <c r="A19" s="6">
        <v>17.0</v>
      </c>
      <c r="B19" s="6" t="s">
        <v>13</v>
      </c>
      <c r="C19" s="7">
        <v>281.0</v>
      </c>
      <c r="D19" s="7">
        <v>377.0</v>
      </c>
      <c r="E19" s="7">
        <f t="shared" si="1"/>
        <v>96</v>
      </c>
      <c r="F19" s="8">
        <f t="shared" si="2"/>
        <v>1600</v>
      </c>
      <c r="G19" s="9">
        <f t="shared" si="3"/>
        <v>1520</v>
      </c>
    </row>
    <row r="20">
      <c r="A20" s="10">
        <v>18.0</v>
      </c>
      <c r="B20" s="10" t="s">
        <v>18</v>
      </c>
      <c r="C20" s="11">
        <v>285.0</v>
      </c>
      <c r="D20" s="11">
        <v>377.0</v>
      </c>
      <c r="E20" s="7">
        <f t="shared" si="1"/>
        <v>92</v>
      </c>
      <c r="F20" s="12">
        <f t="shared" si="2"/>
        <v>1533.333333</v>
      </c>
      <c r="G20" s="9">
        <f t="shared" si="3"/>
        <v>1453.333333</v>
      </c>
    </row>
    <row r="21" ht="15.75" customHeight="1">
      <c r="A21" s="6">
        <v>19.0</v>
      </c>
      <c r="B21" s="6" t="s">
        <v>15</v>
      </c>
      <c r="C21" s="7">
        <v>297.0</v>
      </c>
      <c r="D21" s="7">
        <v>377.0</v>
      </c>
      <c r="E21" s="7">
        <f t="shared" si="1"/>
        <v>80</v>
      </c>
      <c r="F21" s="8">
        <f t="shared" si="2"/>
        <v>1333.333333</v>
      </c>
      <c r="G21" s="9">
        <f t="shared" si="3"/>
        <v>1253.333333</v>
      </c>
    </row>
    <row r="22" ht="15.75" customHeight="1">
      <c r="A22" s="10">
        <v>20.0</v>
      </c>
      <c r="B22" s="10" t="s">
        <v>19</v>
      </c>
      <c r="C22" s="11">
        <v>306.0</v>
      </c>
      <c r="D22" s="11">
        <v>377.0</v>
      </c>
      <c r="E22" s="7">
        <f t="shared" si="1"/>
        <v>71</v>
      </c>
      <c r="F22" s="12">
        <f t="shared" si="2"/>
        <v>1183.333333</v>
      </c>
      <c r="G22" s="9">
        <f t="shared" si="3"/>
        <v>1103.333333</v>
      </c>
    </row>
    <row r="23" ht="15.75" customHeight="1">
      <c r="A23" s="6">
        <v>21.0</v>
      </c>
      <c r="B23" s="6" t="s">
        <v>18</v>
      </c>
      <c r="C23" s="7">
        <v>310.0</v>
      </c>
      <c r="D23" s="7">
        <v>377.0</v>
      </c>
      <c r="E23" s="7">
        <f t="shared" si="1"/>
        <v>67</v>
      </c>
      <c r="F23" s="8">
        <f t="shared" si="2"/>
        <v>1116.666667</v>
      </c>
      <c r="G23" s="9">
        <f t="shared" si="3"/>
        <v>1036.666667</v>
      </c>
    </row>
    <row r="24" ht="15.75" customHeight="1">
      <c r="A24" s="10">
        <v>22.0</v>
      </c>
      <c r="B24" s="10" t="s">
        <v>20</v>
      </c>
      <c r="C24" s="11">
        <v>315.0</v>
      </c>
      <c r="D24" s="11">
        <v>377.0</v>
      </c>
      <c r="E24" s="7">
        <f t="shared" si="1"/>
        <v>62</v>
      </c>
      <c r="F24" s="12">
        <f t="shared" si="2"/>
        <v>1033.333333</v>
      </c>
      <c r="G24" s="9">
        <f t="shared" si="3"/>
        <v>953.3333333</v>
      </c>
    </row>
    <row r="25" ht="15.75" customHeight="1">
      <c r="A25" s="6">
        <v>23.0</v>
      </c>
      <c r="B25" s="6" t="s">
        <v>11</v>
      </c>
      <c r="C25" s="7">
        <v>340.0</v>
      </c>
      <c r="D25" s="13">
        <v>420.0</v>
      </c>
      <c r="E25" s="7">
        <f t="shared" si="1"/>
        <v>80</v>
      </c>
      <c r="F25" s="8">
        <f t="shared" si="2"/>
        <v>1333.333333</v>
      </c>
      <c r="G25" s="9">
        <f t="shared" si="3"/>
        <v>1253.333333</v>
      </c>
    </row>
    <row r="26" ht="15.75" customHeight="1">
      <c r="A26" s="10">
        <v>24.0</v>
      </c>
      <c r="B26" s="10" t="s">
        <v>15</v>
      </c>
      <c r="C26" s="11">
        <v>351.0</v>
      </c>
      <c r="D26" s="14">
        <v>420.0</v>
      </c>
      <c r="E26" s="7">
        <f t="shared" si="1"/>
        <v>69</v>
      </c>
      <c r="F26" s="12">
        <f t="shared" si="2"/>
        <v>1150</v>
      </c>
      <c r="G26" s="9">
        <f t="shared" si="3"/>
        <v>1070</v>
      </c>
    </row>
    <row r="27" ht="15.75" customHeight="1">
      <c r="A27" s="6">
        <v>25.0</v>
      </c>
      <c r="B27" s="6" t="s">
        <v>9</v>
      </c>
      <c r="C27" s="7">
        <v>357.0</v>
      </c>
      <c r="D27" s="13">
        <v>420.0</v>
      </c>
      <c r="E27" s="7">
        <f t="shared" si="1"/>
        <v>63</v>
      </c>
      <c r="F27" s="8">
        <f t="shared" si="2"/>
        <v>1050</v>
      </c>
      <c r="G27" s="9">
        <f t="shared" si="3"/>
        <v>970</v>
      </c>
    </row>
    <row r="28" ht="15.75" customHeight="1">
      <c r="A28" s="10">
        <v>26.0</v>
      </c>
      <c r="B28" s="10" t="s">
        <v>21</v>
      </c>
      <c r="C28" s="11">
        <v>365.0</v>
      </c>
      <c r="D28" s="14">
        <v>420.0</v>
      </c>
      <c r="E28" s="7">
        <f t="shared" si="1"/>
        <v>55</v>
      </c>
      <c r="F28" s="12">
        <f t="shared" si="2"/>
        <v>916.6666667</v>
      </c>
      <c r="G28" s="9">
        <f t="shared" si="3"/>
        <v>836.6666667</v>
      </c>
    </row>
    <row r="29" ht="15.75" customHeight="1">
      <c r="A29" s="6">
        <v>27.0</v>
      </c>
      <c r="B29" s="6" t="s">
        <v>22</v>
      </c>
      <c r="C29" s="7">
        <v>369.0</v>
      </c>
      <c r="D29" s="13">
        <v>420.0</v>
      </c>
      <c r="E29" s="7">
        <f t="shared" si="1"/>
        <v>51</v>
      </c>
      <c r="F29" s="8">
        <f t="shared" si="2"/>
        <v>850</v>
      </c>
      <c r="G29" s="9">
        <f t="shared" si="3"/>
        <v>770</v>
      </c>
    </row>
    <row r="30" ht="15.75" customHeight="1">
      <c r="A30" s="10">
        <v>28.0</v>
      </c>
      <c r="B30" s="10" t="s">
        <v>8</v>
      </c>
      <c r="C30" s="11">
        <v>382.0</v>
      </c>
      <c r="D30" s="14">
        <v>420.0</v>
      </c>
      <c r="E30" s="7">
        <f t="shared" si="1"/>
        <v>38</v>
      </c>
      <c r="F30" s="12">
        <f t="shared" si="2"/>
        <v>633.3333333</v>
      </c>
      <c r="G30" s="9">
        <f t="shared" si="3"/>
        <v>553.3333333</v>
      </c>
    </row>
    <row r="31" ht="15.75" customHeight="1">
      <c r="A31" s="6">
        <v>29.0</v>
      </c>
      <c r="B31" s="6" t="s">
        <v>13</v>
      </c>
      <c r="C31" s="7">
        <v>384.0</v>
      </c>
      <c r="D31" s="13">
        <v>420.0</v>
      </c>
      <c r="E31" s="7">
        <f t="shared" si="1"/>
        <v>36</v>
      </c>
      <c r="F31" s="8">
        <f t="shared" si="2"/>
        <v>600</v>
      </c>
      <c r="G31" s="9">
        <f t="shared" si="3"/>
        <v>520</v>
      </c>
    </row>
    <row r="32" ht="15.75" customHeight="1">
      <c r="A32" s="10">
        <v>30.0</v>
      </c>
      <c r="B32" s="10" t="s">
        <v>18</v>
      </c>
      <c r="C32" s="11">
        <v>391.0</v>
      </c>
      <c r="D32" s="13">
        <v>420.0</v>
      </c>
      <c r="E32" s="7">
        <f t="shared" si="1"/>
        <v>29</v>
      </c>
      <c r="F32" s="12">
        <f t="shared" si="2"/>
        <v>483.3333333</v>
      </c>
      <c r="G32" s="9">
        <f t="shared" si="3"/>
        <v>403.3333333</v>
      </c>
    </row>
    <row r="33" ht="15.75" customHeight="1">
      <c r="A33" s="6">
        <v>31.0</v>
      </c>
      <c r="B33" s="6" t="s">
        <v>12</v>
      </c>
      <c r="C33" s="7">
        <v>396.0</v>
      </c>
      <c r="D33" s="13">
        <v>420.0</v>
      </c>
      <c r="E33" s="7">
        <f t="shared" si="1"/>
        <v>24</v>
      </c>
      <c r="F33" s="8">
        <f t="shared" si="2"/>
        <v>400</v>
      </c>
      <c r="G33" s="9">
        <f t="shared" si="3"/>
        <v>320</v>
      </c>
    </row>
    <row r="34" ht="15.75" customHeight="1">
      <c r="A34" s="10">
        <v>32.0</v>
      </c>
      <c r="B34" s="10" t="s">
        <v>11</v>
      </c>
      <c r="C34" s="11">
        <v>401.0</v>
      </c>
      <c r="D34" s="14">
        <v>453.0</v>
      </c>
      <c r="E34" s="7">
        <f t="shared" si="1"/>
        <v>52</v>
      </c>
      <c r="F34" s="12">
        <f t="shared" si="2"/>
        <v>866.6666667</v>
      </c>
      <c r="G34" s="9">
        <f t="shared" si="3"/>
        <v>786.6666667</v>
      </c>
    </row>
    <row r="35" ht="15.75" customHeight="1">
      <c r="A35" s="6">
        <v>33.0</v>
      </c>
      <c r="B35" s="6" t="s">
        <v>21</v>
      </c>
      <c r="C35" s="7">
        <v>414.0</v>
      </c>
      <c r="D35" s="7">
        <v>482.0</v>
      </c>
      <c r="E35" s="7">
        <f t="shared" si="1"/>
        <v>68</v>
      </c>
      <c r="F35" s="8">
        <f t="shared" si="2"/>
        <v>1133.333333</v>
      </c>
      <c r="G35" s="9">
        <f t="shared" si="3"/>
        <v>1053.333333</v>
      </c>
    </row>
    <row r="36" ht="15.75" customHeight="1">
      <c r="A36" s="10">
        <v>34.0</v>
      </c>
      <c r="B36" s="10" t="s">
        <v>23</v>
      </c>
      <c r="C36" s="11">
        <v>417.0</v>
      </c>
      <c r="D36" s="11">
        <v>482.0</v>
      </c>
      <c r="E36" s="7">
        <f t="shared" si="1"/>
        <v>65</v>
      </c>
      <c r="F36" s="12">
        <f t="shared" si="2"/>
        <v>1083.333333</v>
      </c>
      <c r="G36" s="9">
        <f t="shared" si="3"/>
        <v>1003.333333</v>
      </c>
    </row>
    <row r="37" ht="15.75" customHeight="1">
      <c r="A37" s="6">
        <v>35.0</v>
      </c>
      <c r="B37" s="6" t="s">
        <v>16</v>
      </c>
      <c r="C37" s="7">
        <v>423.0</v>
      </c>
      <c r="D37" s="7">
        <v>482.0</v>
      </c>
      <c r="E37" s="7">
        <f t="shared" si="1"/>
        <v>59</v>
      </c>
      <c r="F37" s="8">
        <f t="shared" si="2"/>
        <v>983.3333333</v>
      </c>
      <c r="G37" s="9">
        <f t="shared" si="3"/>
        <v>903.3333333</v>
      </c>
    </row>
    <row r="38" ht="15.75" customHeight="1">
      <c r="A38" s="10">
        <v>36.0</v>
      </c>
      <c r="B38" s="10" t="s">
        <v>18</v>
      </c>
      <c r="C38" s="11">
        <v>429.0</v>
      </c>
      <c r="D38" s="11">
        <v>482.0</v>
      </c>
      <c r="E38" s="7">
        <f t="shared" si="1"/>
        <v>53</v>
      </c>
      <c r="F38" s="12">
        <f t="shared" si="2"/>
        <v>883.3333333</v>
      </c>
      <c r="G38" s="9">
        <f t="shared" si="3"/>
        <v>803.3333333</v>
      </c>
    </row>
    <row r="39" ht="15.75" customHeight="1">
      <c r="A39" s="6">
        <v>37.0</v>
      </c>
      <c r="B39" s="6" t="s">
        <v>20</v>
      </c>
      <c r="C39" s="7">
        <v>435.0</v>
      </c>
      <c r="D39" s="7">
        <v>482.0</v>
      </c>
      <c r="E39" s="7">
        <f t="shared" si="1"/>
        <v>47</v>
      </c>
      <c r="F39" s="8">
        <f t="shared" si="2"/>
        <v>783.3333333</v>
      </c>
      <c r="G39" s="9">
        <f t="shared" si="3"/>
        <v>703.3333333</v>
      </c>
    </row>
    <row r="40" ht="15.75" customHeight="1">
      <c r="A40" s="10">
        <v>38.0</v>
      </c>
      <c r="B40" s="10" t="s">
        <v>13</v>
      </c>
      <c r="C40" s="11">
        <v>440.0</v>
      </c>
      <c r="D40" s="11">
        <v>482.0</v>
      </c>
      <c r="E40" s="7">
        <f t="shared" si="1"/>
        <v>42</v>
      </c>
      <c r="F40" s="12">
        <f t="shared" si="2"/>
        <v>700</v>
      </c>
      <c r="G40" s="9">
        <f t="shared" si="3"/>
        <v>620</v>
      </c>
    </row>
    <row r="41" ht="15.75" customHeight="1">
      <c r="A41" s="6">
        <v>39.0</v>
      </c>
      <c r="B41" s="6" t="s">
        <v>14</v>
      </c>
      <c r="C41" s="7">
        <v>453.0</v>
      </c>
      <c r="D41" s="7">
        <v>482.0</v>
      </c>
      <c r="E41" s="7">
        <f t="shared" si="1"/>
        <v>29</v>
      </c>
      <c r="F41" s="8">
        <f t="shared" si="2"/>
        <v>483.3333333</v>
      </c>
      <c r="G41" s="9">
        <f t="shared" si="3"/>
        <v>403.3333333</v>
      </c>
    </row>
    <row r="42" ht="15.75" customHeight="1">
      <c r="A42" s="10">
        <v>40.0</v>
      </c>
      <c r="B42" s="10" t="s">
        <v>17</v>
      </c>
      <c r="C42" s="11">
        <v>600.0</v>
      </c>
      <c r="D42" s="11">
        <v>625.0</v>
      </c>
      <c r="E42" s="7">
        <f t="shared" si="1"/>
        <v>25</v>
      </c>
      <c r="F42" s="12">
        <f t="shared" si="2"/>
        <v>416.6666667</v>
      </c>
      <c r="G42" s="9">
        <f t="shared" si="3"/>
        <v>336.6666667</v>
      </c>
    </row>
    <row r="43" ht="15.75" customHeight="1">
      <c r="A43" s="6">
        <v>41.0</v>
      </c>
      <c r="B43" s="6" t="s">
        <v>24</v>
      </c>
      <c r="C43" s="7">
        <v>630.0</v>
      </c>
      <c r="D43" s="7">
        <v>653.0</v>
      </c>
      <c r="E43" s="7">
        <f t="shared" si="1"/>
        <v>23</v>
      </c>
      <c r="F43" s="8">
        <f t="shared" si="2"/>
        <v>383.3333333</v>
      </c>
      <c r="G43" s="9">
        <f t="shared" si="3"/>
        <v>303.3333333</v>
      </c>
    </row>
    <row r="44" ht="15.75" customHeight="1">
      <c r="A44" s="10">
        <v>42.0</v>
      </c>
      <c r="B44" s="10" t="s">
        <v>25</v>
      </c>
      <c r="C44" s="11">
        <v>670.0</v>
      </c>
      <c r="D44" s="11">
        <v>696.0</v>
      </c>
      <c r="E44" s="7">
        <f t="shared" si="1"/>
        <v>26</v>
      </c>
      <c r="F44" s="12">
        <f t="shared" si="2"/>
        <v>433.3333333</v>
      </c>
      <c r="G44" s="9">
        <f t="shared" si="3"/>
        <v>353.3333333</v>
      </c>
    </row>
    <row r="45" ht="15.75" customHeight="1">
      <c r="A45" s="6">
        <v>43.0</v>
      </c>
      <c r="B45" s="6" t="s">
        <v>9</v>
      </c>
      <c r="C45" s="7">
        <v>675.0</v>
      </c>
      <c r="D45" s="7">
        <v>696.0</v>
      </c>
      <c r="E45" s="7">
        <f t="shared" si="1"/>
        <v>21</v>
      </c>
      <c r="F45" s="8">
        <f t="shared" si="2"/>
        <v>350</v>
      </c>
      <c r="G45" s="9">
        <f t="shared" si="3"/>
        <v>270</v>
      </c>
    </row>
    <row r="46" ht="15.75" customHeight="1">
      <c r="A46" s="10">
        <v>44.0</v>
      </c>
      <c r="B46" s="10" t="s">
        <v>26</v>
      </c>
      <c r="C46" s="11">
        <v>683.0</v>
      </c>
      <c r="D46" s="11">
        <v>718.0</v>
      </c>
      <c r="E46" s="7">
        <f t="shared" si="1"/>
        <v>35</v>
      </c>
      <c r="F46" s="12">
        <f t="shared" si="2"/>
        <v>583.3333333</v>
      </c>
      <c r="G46" s="9">
        <f t="shared" si="3"/>
        <v>503.3333333</v>
      </c>
    </row>
    <row r="47" ht="15.75" customHeight="1">
      <c r="A47" s="6">
        <v>45.0</v>
      </c>
      <c r="B47" s="6" t="s">
        <v>13</v>
      </c>
      <c r="C47" s="7">
        <v>688.0</v>
      </c>
      <c r="D47" s="7">
        <v>718.0</v>
      </c>
      <c r="E47" s="7">
        <f t="shared" si="1"/>
        <v>30</v>
      </c>
      <c r="F47" s="8">
        <f t="shared" si="2"/>
        <v>500</v>
      </c>
      <c r="G47" s="9">
        <f t="shared" si="3"/>
        <v>420</v>
      </c>
    </row>
    <row r="48" ht="15.75" customHeight="1">
      <c r="A48" s="10">
        <v>46.0</v>
      </c>
      <c r="B48" s="10" t="s">
        <v>11</v>
      </c>
      <c r="C48" s="11">
        <v>691.0</v>
      </c>
      <c r="D48" s="11">
        <v>718.0</v>
      </c>
      <c r="E48" s="7">
        <f t="shared" si="1"/>
        <v>27</v>
      </c>
      <c r="F48" s="12">
        <f t="shared" si="2"/>
        <v>450</v>
      </c>
      <c r="G48" s="9">
        <f t="shared" si="3"/>
        <v>370</v>
      </c>
    </row>
    <row r="49" ht="15.75" customHeight="1">
      <c r="A49" s="6">
        <v>47.0</v>
      </c>
      <c r="B49" s="6" t="s">
        <v>8</v>
      </c>
      <c r="C49" s="7">
        <v>691.0</v>
      </c>
      <c r="D49" s="7">
        <v>718.0</v>
      </c>
      <c r="E49" s="7">
        <f t="shared" si="1"/>
        <v>27</v>
      </c>
      <c r="F49" s="8">
        <f t="shared" si="2"/>
        <v>450</v>
      </c>
      <c r="G49" s="9">
        <f t="shared" si="3"/>
        <v>370</v>
      </c>
    </row>
    <row r="50" ht="15.75" customHeight="1">
      <c r="A50" s="10">
        <v>48.0</v>
      </c>
      <c r="B50" s="10" t="s">
        <v>15</v>
      </c>
      <c r="C50" s="11">
        <v>720.0</v>
      </c>
      <c r="D50" s="11">
        <v>747.0</v>
      </c>
      <c r="E50" s="7">
        <f t="shared" si="1"/>
        <v>27</v>
      </c>
      <c r="F50" s="12">
        <f t="shared" si="2"/>
        <v>450</v>
      </c>
      <c r="G50" s="9">
        <f t="shared" si="3"/>
        <v>370</v>
      </c>
    </row>
    <row r="51" ht="15.75" customHeight="1">
      <c r="A51" s="6">
        <v>49.0</v>
      </c>
      <c r="B51" s="6" t="s">
        <v>16</v>
      </c>
      <c r="C51" s="7">
        <v>729.0</v>
      </c>
      <c r="D51" s="7">
        <v>747.0</v>
      </c>
      <c r="E51" s="7">
        <f t="shared" si="1"/>
        <v>18</v>
      </c>
      <c r="F51" s="8">
        <f t="shared" si="2"/>
        <v>300</v>
      </c>
      <c r="G51" s="9">
        <f t="shared" si="3"/>
        <v>220</v>
      </c>
    </row>
    <row r="52" ht="15.75" customHeight="1">
      <c r="A52" s="10">
        <v>50.0</v>
      </c>
      <c r="B52" s="10" t="s">
        <v>12</v>
      </c>
      <c r="C52" s="11">
        <v>737.0</v>
      </c>
      <c r="D52" s="11">
        <v>759.0</v>
      </c>
      <c r="E52" s="7">
        <f t="shared" si="1"/>
        <v>22</v>
      </c>
      <c r="F52" s="12">
        <f t="shared" si="2"/>
        <v>366.6666667</v>
      </c>
      <c r="G52" s="9">
        <f t="shared" si="3"/>
        <v>286.6666667</v>
      </c>
    </row>
    <row r="53" ht="15.75" customHeight="1">
      <c r="A53" s="6">
        <v>51.0</v>
      </c>
      <c r="B53" s="6" t="s">
        <v>16</v>
      </c>
      <c r="C53" s="7">
        <v>746.0</v>
      </c>
      <c r="D53" s="7">
        <v>759.0</v>
      </c>
      <c r="E53" s="7">
        <f t="shared" si="1"/>
        <v>13</v>
      </c>
      <c r="F53" s="8">
        <f t="shared" si="2"/>
        <v>216.6666667</v>
      </c>
      <c r="G53" s="9">
        <f t="shared" si="3"/>
        <v>136.6666667</v>
      </c>
    </row>
    <row r="54" ht="15.75" customHeight="1">
      <c r="A54" s="10">
        <v>52.0</v>
      </c>
      <c r="B54" s="10" t="s">
        <v>11</v>
      </c>
      <c r="C54" s="11">
        <v>750.0</v>
      </c>
      <c r="D54" s="11">
        <v>774.0</v>
      </c>
      <c r="E54" s="7">
        <f t="shared" si="1"/>
        <v>24</v>
      </c>
      <c r="F54" s="12">
        <f t="shared" si="2"/>
        <v>400</v>
      </c>
      <c r="G54" s="9">
        <f t="shared" si="3"/>
        <v>320</v>
      </c>
    </row>
    <row r="55" ht="15.75" customHeight="1">
      <c r="A55" s="6">
        <v>53.0</v>
      </c>
      <c r="B55" s="6" t="s">
        <v>19</v>
      </c>
      <c r="C55" s="7">
        <v>758.0</v>
      </c>
      <c r="D55" s="7">
        <v>774.0</v>
      </c>
      <c r="E55" s="7">
        <f t="shared" si="1"/>
        <v>16</v>
      </c>
      <c r="F55" s="8">
        <f t="shared" si="2"/>
        <v>266.6666667</v>
      </c>
      <c r="G55" s="9">
        <f t="shared" si="3"/>
        <v>186.6666667</v>
      </c>
    </row>
    <row r="56" ht="15.75" customHeight="1">
      <c r="A56" s="10">
        <v>54.0</v>
      </c>
      <c r="B56" s="10" t="s">
        <v>18</v>
      </c>
      <c r="C56" s="11">
        <v>762.0</v>
      </c>
      <c r="D56" s="11">
        <v>774.0</v>
      </c>
      <c r="E56" s="7">
        <f t="shared" si="1"/>
        <v>12</v>
      </c>
      <c r="F56" s="12">
        <f t="shared" si="2"/>
        <v>200</v>
      </c>
      <c r="G56" s="9">
        <f t="shared" si="3"/>
        <v>120</v>
      </c>
    </row>
    <row r="57" ht="15.75" customHeight="1">
      <c r="A57" s="6">
        <v>55.0</v>
      </c>
      <c r="B57" s="6" t="s">
        <v>21</v>
      </c>
      <c r="C57" s="7">
        <v>771.0</v>
      </c>
      <c r="D57" s="7">
        <v>794.0</v>
      </c>
      <c r="E57" s="7">
        <f t="shared" si="1"/>
        <v>23</v>
      </c>
      <c r="F57" s="8">
        <f t="shared" si="2"/>
        <v>383.3333333</v>
      </c>
      <c r="G57" s="9">
        <f t="shared" si="3"/>
        <v>303.3333333</v>
      </c>
    </row>
    <row r="58" ht="15.75" customHeight="1">
      <c r="A58" s="10">
        <v>56.0</v>
      </c>
      <c r="B58" s="10" t="s">
        <v>27</v>
      </c>
      <c r="C58" s="11">
        <v>775.0</v>
      </c>
      <c r="D58" s="11">
        <v>794.0</v>
      </c>
      <c r="E58" s="7">
        <f t="shared" si="1"/>
        <v>19</v>
      </c>
      <c r="F58" s="12">
        <f t="shared" si="2"/>
        <v>316.6666667</v>
      </c>
      <c r="G58" s="9">
        <f t="shared" si="3"/>
        <v>236.6666667</v>
      </c>
    </row>
    <row r="59" ht="15.75" customHeight="1">
      <c r="A59" s="6">
        <v>57.0</v>
      </c>
      <c r="B59" s="6" t="s">
        <v>8</v>
      </c>
      <c r="C59" s="7">
        <v>781.0</v>
      </c>
      <c r="D59" s="7">
        <v>794.0</v>
      </c>
      <c r="E59" s="7">
        <f t="shared" si="1"/>
        <v>13</v>
      </c>
      <c r="F59" s="8">
        <f t="shared" si="2"/>
        <v>216.6666667</v>
      </c>
      <c r="G59" s="9">
        <f t="shared" si="3"/>
        <v>136.6666667</v>
      </c>
    </row>
    <row r="60" ht="15.75" customHeight="1">
      <c r="A60" s="10">
        <v>58.0</v>
      </c>
      <c r="B60" s="10" t="s">
        <v>19</v>
      </c>
      <c r="C60" s="11">
        <v>791.0</v>
      </c>
      <c r="D60" s="11">
        <v>825.0</v>
      </c>
      <c r="E60" s="7">
        <f t="shared" si="1"/>
        <v>34</v>
      </c>
      <c r="F60" s="12">
        <f t="shared" si="2"/>
        <v>566.6666667</v>
      </c>
      <c r="G60" s="9">
        <f t="shared" si="3"/>
        <v>486.6666667</v>
      </c>
    </row>
    <row r="61" ht="15.75" customHeight="1">
      <c r="A61" s="6">
        <v>59.0</v>
      </c>
      <c r="B61" s="6" t="s">
        <v>18</v>
      </c>
      <c r="C61" s="7">
        <v>795.0</v>
      </c>
      <c r="D61" s="7">
        <v>825.0</v>
      </c>
      <c r="E61" s="7">
        <f t="shared" si="1"/>
        <v>30</v>
      </c>
      <c r="F61" s="8">
        <f t="shared" si="2"/>
        <v>500</v>
      </c>
      <c r="G61" s="9">
        <f t="shared" si="3"/>
        <v>420</v>
      </c>
    </row>
    <row r="62" ht="15.75" customHeight="1">
      <c r="A62" s="10">
        <v>60.0</v>
      </c>
      <c r="B62" s="10" t="s">
        <v>20</v>
      </c>
      <c r="C62" s="11">
        <v>801.0</v>
      </c>
      <c r="D62" s="11">
        <v>825.0</v>
      </c>
      <c r="E62" s="7">
        <f t="shared" si="1"/>
        <v>24</v>
      </c>
      <c r="F62" s="12">
        <f t="shared" si="2"/>
        <v>400</v>
      </c>
      <c r="G62" s="9">
        <f t="shared" si="3"/>
        <v>320</v>
      </c>
    </row>
    <row r="63" ht="15.75" customHeight="1">
      <c r="A63" s="6">
        <v>61.0</v>
      </c>
      <c r="B63" s="6" t="s">
        <v>28</v>
      </c>
      <c r="C63" s="7">
        <v>820.0</v>
      </c>
      <c r="D63" s="7">
        <v>843.0</v>
      </c>
      <c r="E63" s="7">
        <f t="shared" si="1"/>
        <v>23</v>
      </c>
      <c r="F63" s="8">
        <f t="shared" si="2"/>
        <v>383.3333333</v>
      </c>
      <c r="G63" s="9">
        <f t="shared" si="3"/>
        <v>303.3333333</v>
      </c>
    </row>
    <row r="64" ht="15.75" customHeight="1"/>
    <row r="65" ht="15.75" customHeight="1"/>
    <row r="66" ht="15.75" customHeight="1">
      <c r="A66" s="15" t="s">
        <v>29</v>
      </c>
      <c r="B66" s="3"/>
    </row>
    <row r="67" ht="15.75" customHeight="1">
      <c r="A67" s="16" t="s">
        <v>30</v>
      </c>
      <c r="B67" s="3"/>
      <c r="C67" s="8">
        <f>COUNTA(F3:F63)</f>
        <v>61</v>
      </c>
    </row>
    <row r="68" ht="15.75" customHeight="1">
      <c r="A68" s="17" t="s">
        <v>31</v>
      </c>
      <c r="B68" s="3"/>
      <c r="C68" s="5" t="s">
        <v>6</v>
      </c>
      <c r="D68" s="8">
        <f>MIN(gdlat)</f>
        <v>120</v>
      </c>
      <c r="E68" s="18">
        <f>QUARTILE(gdlat,1)</f>
        <v>320</v>
      </c>
      <c r="F68" s="18">
        <f>QUARTILE(gdlat,3)</f>
        <v>886.6666667</v>
      </c>
      <c r="G68" s="8">
        <f>MAX(gdlat)</f>
        <v>2020</v>
      </c>
    </row>
    <row r="69" ht="15.75" customHeight="1">
      <c r="A69" s="16" t="s">
        <v>32</v>
      </c>
      <c r="B69" s="3"/>
      <c r="C69" s="8">
        <f>MAX(F3:F63)</f>
        <v>2100</v>
      </c>
    </row>
    <row r="70" ht="15.75" customHeight="1">
      <c r="A70" s="17" t="s">
        <v>33</v>
      </c>
      <c r="B70" s="3"/>
      <c r="C70" s="8">
        <f>AVERAGE(F3:F63)</f>
        <v>698.9071038</v>
      </c>
    </row>
    <row r="71" ht="15.75" customHeight="1">
      <c r="A71" s="16" t="s">
        <v>34</v>
      </c>
      <c r="B71" s="3"/>
      <c r="C71" s="8">
        <f>MEDIAN(F3:F63)</f>
        <v>516.6666667</v>
      </c>
    </row>
    <row r="72" ht="15.75" customHeight="1">
      <c r="A72" s="17" t="s">
        <v>35</v>
      </c>
      <c r="B72" s="3"/>
      <c r="C72" s="8">
        <f>STDEV(F3:F63)</f>
        <v>413.1391665</v>
      </c>
    </row>
    <row r="73" ht="15.75" customHeight="1">
      <c r="A73" s="16" t="s">
        <v>36</v>
      </c>
      <c r="B73" s="3"/>
      <c r="C73" s="8">
        <f>PERCENTILE(F3:F63,0.95)</f>
        <v>1533.333333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72:B72"/>
    <mergeCell ref="A73:B73"/>
    <mergeCell ref="A1:F1"/>
    <mergeCell ref="A66:B66"/>
    <mergeCell ref="A67:B67"/>
    <mergeCell ref="A68:B68"/>
    <mergeCell ref="A69:B69"/>
    <mergeCell ref="A70:B70"/>
    <mergeCell ref="A71:B7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3.57"/>
    <col customWidth="1" min="3" max="3" width="23.29"/>
    <col customWidth="1" min="4" max="4" width="14.71"/>
    <col customWidth="1" min="5" max="5" width="15.0"/>
    <col customWidth="1" min="6" max="6" width="19.57"/>
    <col customWidth="1" min="7" max="7" width="14.71"/>
    <col customWidth="1" min="8" max="8" width="15.86"/>
    <col customWidth="1" min="9" max="9" width="15.43"/>
    <col customWidth="1" min="10" max="10" width="12.86"/>
    <col customWidth="1" min="11" max="11" width="11.57"/>
    <col customWidth="1" min="12" max="14" width="8.71"/>
    <col customWidth="1" min="15" max="16" width="14.0"/>
    <col customWidth="1" min="17" max="17" width="11.0"/>
    <col customWidth="1" min="18" max="26" width="8.71"/>
  </cols>
  <sheetData>
    <row r="1" ht="21.75" customHeight="1">
      <c r="A1" s="19" t="s">
        <v>37</v>
      </c>
      <c r="B1" s="2"/>
      <c r="C1" s="2"/>
      <c r="D1" s="2"/>
      <c r="E1" s="3"/>
    </row>
    <row r="2">
      <c r="A2" s="4" t="s">
        <v>1</v>
      </c>
      <c r="B2" s="4" t="s">
        <v>38</v>
      </c>
      <c r="C2" s="4" t="s">
        <v>39</v>
      </c>
      <c r="D2" s="4" t="s">
        <v>6</v>
      </c>
      <c r="E2" s="4" t="s">
        <v>40</v>
      </c>
      <c r="F2" s="20" t="s">
        <v>41</v>
      </c>
      <c r="H2" s="20" t="s">
        <v>42</v>
      </c>
      <c r="J2" s="5" t="s">
        <v>43</v>
      </c>
    </row>
    <row r="3">
      <c r="A3" s="6">
        <v>1.0</v>
      </c>
      <c r="B3" s="5">
        <v>6.5</v>
      </c>
      <c r="C3" s="5">
        <v>6.645858991</v>
      </c>
      <c r="D3" s="21">
        <f t="shared" ref="D3:D102" si="1">(C3-B3)*1000</f>
        <v>145.858991</v>
      </c>
      <c r="E3" s="6" t="s">
        <v>44</v>
      </c>
      <c r="F3" s="5">
        <v>6.5</v>
      </c>
      <c r="G3" s="5">
        <v>6.645858991</v>
      </c>
      <c r="H3" s="5">
        <v>38.419992695</v>
      </c>
      <c r="I3" s="5">
        <v>38.421424167</v>
      </c>
      <c r="J3" s="18">
        <f t="shared" ref="J3:J102" si="2">(I3-H3)*1000</f>
        <v>1.431472</v>
      </c>
    </row>
    <row r="4">
      <c r="A4" s="10">
        <v>2.0</v>
      </c>
      <c r="B4" s="5">
        <v>8.63696336</v>
      </c>
      <c r="C4" s="5">
        <v>8.943627666</v>
      </c>
      <c r="D4" s="21">
        <f t="shared" si="1"/>
        <v>306.664306</v>
      </c>
      <c r="E4" s="22">
        <f t="shared" ref="E4:E102" si="3">D4-D3</f>
        <v>160.805315</v>
      </c>
      <c r="F4" s="5">
        <v>8.63696336</v>
      </c>
      <c r="G4" s="5">
        <v>8.943627666</v>
      </c>
      <c r="H4" s="5">
        <v>39.421902524</v>
      </c>
      <c r="I4" s="5">
        <v>39.423386705</v>
      </c>
      <c r="J4" s="18">
        <f t="shared" si="2"/>
        <v>1.484181</v>
      </c>
    </row>
    <row r="5">
      <c r="A5" s="6">
        <v>3.0</v>
      </c>
      <c r="B5" s="5">
        <v>9.6382135</v>
      </c>
      <c r="C5" s="5">
        <v>9.777470289</v>
      </c>
      <c r="D5" s="21">
        <f t="shared" si="1"/>
        <v>139.256789</v>
      </c>
      <c r="E5" s="21">
        <f t="shared" si="3"/>
        <v>-167.407517</v>
      </c>
      <c r="F5" s="5">
        <v>9.6382135</v>
      </c>
      <c r="G5" s="5">
        <v>9.777470289</v>
      </c>
      <c r="H5" s="5">
        <v>40.423799173</v>
      </c>
      <c r="I5" s="5">
        <v>40.425329714</v>
      </c>
      <c r="J5" s="18">
        <f t="shared" si="2"/>
        <v>1.530541</v>
      </c>
    </row>
    <row r="6">
      <c r="A6" s="10">
        <v>4.0</v>
      </c>
      <c r="B6" s="5">
        <v>10.63899801</v>
      </c>
      <c r="C6" s="5">
        <v>10.802557103</v>
      </c>
      <c r="D6" s="21">
        <f t="shared" si="1"/>
        <v>163.559093</v>
      </c>
      <c r="E6" s="22">
        <f t="shared" si="3"/>
        <v>24.302304</v>
      </c>
      <c r="F6" s="5">
        <v>10.63899801</v>
      </c>
      <c r="G6" s="5">
        <v>10.802557103</v>
      </c>
      <c r="H6" s="5">
        <v>41.42589524</v>
      </c>
      <c r="I6" s="5">
        <v>41.427164953</v>
      </c>
      <c r="J6" s="18">
        <f t="shared" si="2"/>
        <v>1.269713</v>
      </c>
    </row>
    <row r="7">
      <c r="A7" s="6">
        <v>5.0</v>
      </c>
      <c r="B7" s="5">
        <v>11.64035747</v>
      </c>
      <c r="C7" s="5">
        <v>11.647687058</v>
      </c>
      <c r="D7" s="21">
        <f t="shared" si="1"/>
        <v>7.329588</v>
      </c>
      <c r="E7" s="21">
        <f t="shared" si="3"/>
        <v>-156.229505</v>
      </c>
      <c r="F7" s="5">
        <v>11.64035747</v>
      </c>
      <c r="G7" s="5">
        <v>11.647687058</v>
      </c>
      <c r="H7" s="5">
        <v>42.42776141</v>
      </c>
      <c r="I7" s="5">
        <v>42.429086912</v>
      </c>
      <c r="J7" s="18">
        <f t="shared" si="2"/>
        <v>1.325502</v>
      </c>
    </row>
    <row r="8">
      <c r="A8" s="10">
        <v>6.0</v>
      </c>
      <c r="B8" s="5">
        <v>12.64152588</v>
      </c>
      <c r="C8" s="5">
        <v>12.65404205</v>
      </c>
      <c r="D8" s="21">
        <f t="shared" si="1"/>
        <v>12.51617</v>
      </c>
      <c r="E8" s="22">
        <f t="shared" si="3"/>
        <v>5.186582</v>
      </c>
      <c r="F8" s="5">
        <v>12.64152588</v>
      </c>
      <c r="G8" s="5">
        <v>12.65404205</v>
      </c>
      <c r="H8" s="5">
        <v>43.429343451</v>
      </c>
      <c r="I8" s="5">
        <v>43.430670863</v>
      </c>
      <c r="J8" s="18">
        <f t="shared" si="2"/>
        <v>1.327412</v>
      </c>
    </row>
    <row r="9">
      <c r="A9" s="6">
        <v>7.0</v>
      </c>
      <c r="B9" s="5">
        <v>13.6435322</v>
      </c>
      <c r="C9" s="5">
        <v>13.676617189</v>
      </c>
      <c r="D9" s="21">
        <f t="shared" si="1"/>
        <v>33.084989</v>
      </c>
      <c r="E9" s="21">
        <f t="shared" si="3"/>
        <v>20.568819</v>
      </c>
      <c r="F9" s="5">
        <v>13.6435322</v>
      </c>
      <c r="G9" s="5">
        <v>13.676617189</v>
      </c>
      <c r="H9" s="5">
        <v>44.430873882</v>
      </c>
      <c r="I9" s="5">
        <v>44.432077015</v>
      </c>
      <c r="J9" s="18">
        <f t="shared" si="2"/>
        <v>1.203133</v>
      </c>
    </row>
    <row r="10">
      <c r="A10" s="10">
        <v>8.0</v>
      </c>
      <c r="B10" s="5">
        <v>14.64533737</v>
      </c>
      <c r="C10" s="5">
        <v>14.652943907</v>
      </c>
      <c r="D10" s="21">
        <f t="shared" si="1"/>
        <v>7.606537</v>
      </c>
      <c r="E10" s="22">
        <f t="shared" si="3"/>
        <v>-25.478452</v>
      </c>
      <c r="F10" s="5">
        <v>14.64533737</v>
      </c>
      <c r="G10" s="5">
        <v>14.652943907</v>
      </c>
      <c r="H10" s="5">
        <v>45.43286546</v>
      </c>
      <c r="I10" s="5">
        <v>45.434331922</v>
      </c>
      <c r="J10" s="18">
        <f t="shared" si="2"/>
        <v>1.466462</v>
      </c>
    </row>
    <row r="11">
      <c r="A11" s="6">
        <v>9.0</v>
      </c>
      <c r="B11" s="5">
        <v>15.6462022</v>
      </c>
      <c r="C11" s="5">
        <v>15.654419943</v>
      </c>
      <c r="D11" s="21">
        <f t="shared" si="1"/>
        <v>8.217743</v>
      </c>
      <c r="E11" s="21">
        <f t="shared" si="3"/>
        <v>0.611206</v>
      </c>
      <c r="F11" s="5">
        <v>15.6462022</v>
      </c>
      <c r="G11" s="5">
        <v>15.654419943</v>
      </c>
      <c r="H11" s="5">
        <v>46.434099693</v>
      </c>
      <c r="I11" s="5">
        <v>46.435407906</v>
      </c>
      <c r="J11" s="18">
        <f t="shared" si="2"/>
        <v>1.308213</v>
      </c>
    </row>
    <row r="12">
      <c r="A12" s="10">
        <v>10.0</v>
      </c>
      <c r="B12" s="5">
        <v>16.64670941</v>
      </c>
      <c r="C12" s="5">
        <v>16.65592685</v>
      </c>
      <c r="D12" s="21">
        <f t="shared" si="1"/>
        <v>9.21744</v>
      </c>
      <c r="E12" s="22">
        <f t="shared" si="3"/>
        <v>0.999697</v>
      </c>
      <c r="F12" s="5">
        <v>16.64670941</v>
      </c>
      <c r="G12" s="5">
        <v>16.65592685</v>
      </c>
      <c r="H12" s="5">
        <v>47.435103288</v>
      </c>
      <c r="I12" s="5">
        <v>47.436405161</v>
      </c>
      <c r="J12" s="18">
        <f t="shared" si="2"/>
        <v>1.301873</v>
      </c>
    </row>
    <row r="13">
      <c r="A13" s="6">
        <v>11.0</v>
      </c>
      <c r="B13" s="5">
        <v>17.64828501</v>
      </c>
      <c r="C13" s="5">
        <v>17.65706447</v>
      </c>
      <c r="D13" s="21">
        <f t="shared" si="1"/>
        <v>8.77946</v>
      </c>
      <c r="E13" s="21">
        <f t="shared" si="3"/>
        <v>-0.43798</v>
      </c>
      <c r="F13" s="5">
        <v>17.64828501</v>
      </c>
      <c r="G13" s="5">
        <v>17.65706447</v>
      </c>
      <c r="H13" s="5">
        <v>48.436140494</v>
      </c>
      <c r="I13" s="5">
        <v>48.437401206</v>
      </c>
      <c r="J13" s="18">
        <f t="shared" si="2"/>
        <v>1.260712</v>
      </c>
    </row>
    <row r="14">
      <c r="A14" s="10">
        <v>12.0</v>
      </c>
      <c r="B14" s="5">
        <v>18.64863692</v>
      </c>
      <c r="C14" s="5">
        <v>18.655805902</v>
      </c>
      <c r="D14" s="21">
        <f t="shared" si="1"/>
        <v>7.168982</v>
      </c>
      <c r="E14" s="22">
        <f t="shared" si="3"/>
        <v>-1.610478</v>
      </c>
      <c r="F14" s="5">
        <v>18.64863692</v>
      </c>
      <c r="G14" s="5">
        <v>18.655805902</v>
      </c>
      <c r="H14" s="5">
        <v>49.437379157</v>
      </c>
      <c r="I14" s="5">
        <v>49.438706379</v>
      </c>
      <c r="J14" s="18">
        <f t="shared" si="2"/>
        <v>1.327222</v>
      </c>
    </row>
    <row r="15">
      <c r="A15" s="6">
        <v>13.0</v>
      </c>
      <c r="B15" s="5">
        <v>19.64987723</v>
      </c>
      <c r="C15" s="5">
        <v>19.722465086</v>
      </c>
      <c r="D15" s="21">
        <f t="shared" si="1"/>
        <v>72.587856</v>
      </c>
      <c r="E15" s="21">
        <f t="shared" si="3"/>
        <v>65.418874</v>
      </c>
      <c r="F15" s="5">
        <v>19.64987723</v>
      </c>
      <c r="G15" s="5">
        <v>19.722465086</v>
      </c>
      <c r="H15" s="5">
        <v>50.438133613</v>
      </c>
      <c r="I15" s="5">
        <v>50.439882373</v>
      </c>
      <c r="J15" s="18">
        <f t="shared" si="2"/>
        <v>1.74876</v>
      </c>
    </row>
    <row r="16">
      <c r="A16" s="10">
        <v>14.0</v>
      </c>
      <c r="B16" s="5">
        <v>20.65145871</v>
      </c>
      <c r="C16" s="5">
        <v>20.769970734</v>
      </c>
      <c r="D16" s="21">
        <f t="shared" si="1"/>
        <v>118.512024</v>
      </c>
      <c r="E16" s="22">
        <f t="shared" si="3"/>
        <v>45.924168</v>
      </c>
      <c r="F16" s="5">
        <v>20.65145871</v>
      </c>
      <c r="G16" s="5">
        <v>20.769970734</v>
      </c>
      <c r="H16" s="5">
        <v>51.439860764</v>
      </c>
      <c r="I16" s="5">
        <v>51.441197567</v>
      </c>
      <c r="J16" s="18">
        <f t="shared" si="2"/>
        <v>1.336803</v>
      </c>
    </row>
    <row r="17">
      <c r="A17" s="6">
        <v>15.0</v>
      </c>
      <c r="B17" s="5">
        <v>21.65309061</v>
      </c>
      <c r="C17" s="5">
        <v>21.677047498</v>
      </c>
      <c r="D17" s="21">
        <f t="shared" si="1"/>
        <v>23.956888</v>
      </c>
      <c r="E17" s="21">
        <f t="shared" si="3"/>
        <v>-94.555136</v>
      </c>
      <c r="F17" s="5">
        <v>21.65309061</v>
      </c>
      <c r="G17" s="5">
        <v>21.677047498</v>
      </c>
      <c r="H17" s="5">
        <v>52.442005172</v>
      </c>
      <c r="I17" s="5">
        <v>52.443443294</v>
      </c>
      <c r="J17" s="18">
        <f t="shared" si="2"/>
        <v>1.438122</v>
      </c>
    </row>
    <row r="18">
      <c r="A18" s="10">
        <v>16.0</v>
      </c>
      <c r="B18" s="5">
        <v>22.65430186</v>
      </c>
      <c r="C18" s="5">
        <v>22.659925451</v>
      </c>
      <c r="D18" s="21">
        <f t="shared" si="1"/>
        <v>5.623591</v>
      </c>
      <c r="E18" s="22">
        <f t="shared" si="3"/>
        <v>-18.333297</v>
      </c>
      <c r="F18" s="5">
        <v>22.65430186</v>
      </c>
      <c r="G18" s="5">
        <v>22.659925451</v>
      </c>
      <c r="H18" s="5">
        <v>53.443915562</v>
      </c>
      <c r="I18" s="5">
        <v>53.445438153</v>
      </c>
      <c r="J18" s="18">
        <f t="shared" si="2"/>
        <v>1.522591</v>
      </c>
    </row>
    <row r="19">
      <c r="A19" s="6">
        <v>17.0</v>
      </c>
      <c r="B19" s="5">
        <v>23.65509625</v>
      </c>
      <c r="C19" s="5">
        <v>23.665141088</v>
      </c>
      <c r="D19" s="21">
        <f t="shared" si="1"/>
        <v>10.044838</v>
      </c>
      <c r="E19" s="21">
        <f t="shared" si="3"/>
        <v>4.421247</v>
      </c>
      <c r="F19" s="5">
        <v>23.65509625</v>
      </c>
      <c r="G19" s="5">
        <v>23.665141088</v>
      </c>
      <c r="H19" s="5">
        <v>54.445391685</v>
      </c>
      <c r="I19" s="5">
        <v>54.446766037</v>
      </c>
      <c r="J19" s="18">
        <f t="shared" si="2"/>
        <v>1.374352</v>
      </c>
    </row>
    <row r="20">
      <c r="A20" s="10">
        <v>18.0</v>
      </c>
      <c r="B20" s="5">
        <v>24.6557511</v>
      </c>
      <c r="C20" s="5">
        <v>24.667277255</v>
      </c>
      <c r="D20" s="21">
        <f t="shared" si="1"/>
        <v>11.526155</v>
      </c>
      <c r="E20" s="22">
        <f t="shared" si="3"/>
        <v>1.481317</v>
      </c>
      <c r="F20" s="5">
        <v>24.6557511</v>
      </c>
      <c r="G20" s="5">
        <v>24.667277255</v>
      </c>
      <c r="H20" s="5">
        <v>55.446624239</v>
      </c>
      <c r="I20" s="5">
        <v>55.44804184</v>
      </c>
      <c r="J20" s="18">
        <f t="shared" si="2"/>
        <v>1.417601</v>
      </c>
    </row>
    <row r="21" ht="15.75" customHeight="1">
      <c r="A21" s="6">
        <v>19.0</v>
      </c>
      <c r="B21" s="5">
        <v>25.65697655</v>
      </c>
      <c r="C21" s="5">
        <v>25.676324271</v>
      </c>
      <c r="D21" s="21">
        <f t="shared" si="1"/>
        <v>19.347721</v>
      </c>
      <c r="E21" s="21">
        <f t="shared" si="3"/>
        <v>7.821566</v>
      </c>
      <c r="F21" s="5">
        <v>25.65697655</v>
      </c>
      <c r="G21" s="5">
        <v>25.676324271</v>
      </c>
      <c r="H21" s="5">
        <v>56.447875902</v>
      </c>
      <c r="I21" s="5">
        <v>56.449292244</v>
      </c>
      <c r="J21" s="18">
        <f t="shared" si="2"/>
        <v>1.416342</v>
      </c>
    </row>
    <row r="22" ht="15.75" customHeight="1">
      <c r="A22" s="10">
        <v>20.0</v>
      </c>
      <c r="B22" s="5">
        <v>26.65827619</v>
      </c>
      <c r="C22" s="5">
        <v>26.66545949</v>
      </c>
      <c r="D22" s="21">
        <f t="shared" si="1"/>
        <v>7.1833</v>
      </c>
      <c r="E22" s="22">
        <f t="shared" si="3"/>
        <v>-12.164421</v>
      </c>
      <c r="F22" s="5">
        <v>26.65827619</v>
      </c>
      <c r="G22" s="5">
        <v>26.66545949</v>
      </c>
      <c r="H22" s="5">
        <v>57.449183166</v>
      </c>
      <c r="I22" s="5">
        <v>57.450583508</v>
      </c>
      <c r="J22" s="18">
        <f t="shared" si="2"/>
        <v>1.400342</v>
      </c>
    </row>
    <row r="23" ht="15.75" customHeight="1">
      <c r="A23" s="6">
        <v>21.0</v>
      </c>
      <c r="B23" s="5">
        <v>27.65866343</v>
      </c>
      <c r="C23" s="5">
        <v>27.858197046</v>
      </c>
      <c r="D23" s="21">
        <f t="shared" si="1"/>
        <v>199.533616</v>
      </c>
      <c r="E23" s="21">
        <f t="shared" si="3"/>
        <v>192.350316</v>
      </c>
      <c r="F23" s="5">
        <v>27.65866343</v>
      </c>
      <c r="G23" s="5">
        <v>27.858197046</v>
      </c>
      <c r="H23" s="5">
        <v>58.450927237</v>
      </c>
      <c r="I23" s="5">
        <v>58.452316369</v>
      </c>
      <c r="J23" s="18">
        <f t="shared" si="2"/>
        <v>1.389132</v>
      </c>
    </row>
    <row r="24" ht="15.75" customHeight="1">
      <c r="A24" s="10">
        <v>22.0</v>
      </c>
      <c r="B24" s="5">
        <v>28.66047196</v>
      </c>
      <c r="C24" s="5">
        <v>28.667527723</v>
      </c>
      <c r="D24" s="21">
        <f t="shared" si="1"/>
        <v>7.055763</v>
      </c>
      <c r="E24" s="22">
        <f t="shared" si="3"/>
        <v>-192.477853</v>
      </c>
      <c r="F24" s="5">
        <v>28.66047196</v>
      </c>
      <c r="G24" s="5">
        <v>28.667527723</v>
      </c>
      <c r="H24" s="5">
        <v>59.452977577</v>
      </c>
      <c r="I24" s="5">
        <v>59.454534418</v>
      </c>
      <c r="J24" s="18">
        <f t="shared" si="2"/>
        <v>1.556841</v>
      </c>
    </row>
    <row r="25" ht="15.75" customHeight="1">
      <c r="A25" s="6">
        <v>23.0</v>
      </c>
      <c r="B25" s="5">
        <v>29.66210333</v>
      </c>
      <c r="C25" s="5">
        <v>29.669716088</v>
      </c>
      <c r="D25" s="21">
        <f t="shared" si="1"/>
        <v>7.612758</v>
      </c>
      <c r="E25" s="21">
        <f t="shared" si="3"/>
        <v>0.556995</v>
      </c>
      <c r="F25" s="5">
        <v>29.66210333</v>
      </c>
      <c r="G25" s="5">
        <v>29.669716088</v>
      </c>
      <c r="H25" s="5">
        <v>60.45448691</v>
      </c>
      <c r="I25" s="5">
        <v>60.455760013</v>
      </c>
      <c r="J25" s="18">
        <f t="shared" si="2"/>
        <v>1.273103</v>
      </c>
    </row>
    <row r="26" ht="15.75" customHeight="1">
      <c r="A26" s="10">
        <v>24.0</v>
      </c>
      <c r="B26" s="5">
        <v>30.66262961</v>
      </c>
      <c r="C26" s="5">
        <v>30.670332546</v>
      </c>
      <c r="D26" s="21">
        <f t="shared" si="1"/>
        <v>7.702936</v>
      </c>
      <c r="E26" s="22">
        <f t="shared" si="3"/>
        <v>0.090178</v>
      </c>
      <c r="F26" s="5">
        <v>30.66262961</v>
      </c>
      <c r="G26" s="5">
        <v>30.670332546</v>
      </c>
      <c r="H26" s="5">
        <v>61.455886914</v>
      </c>
      <c r="I26" s="5">
        <v>61.457384245</v>
      </c>
      <c r="J26" s="18">
        <f t="shared" si="2"/>
        <v>1.497331</v>
      </c>
    </row>
    <row r="27" ht="15.75" customHeight="1">
      <c r="A27" s="6">
        <v>25.0</v>
      </c>
      <c r="B27" s="5">
        <v>31.66419274</v>
      </c>
      <c r="C27" s="5">
        <v>31.670138334</v>
      </c>
      <c r="D27" s="21">
        <f t="shared" si="1"/>
        <v>5.945594</v>
      </c>
      <c r="E27" s="21">
        <f t="shared" si="3"/>
        <v>-1.757342</v>
      </c>
      <c r="F27" s="5">
        <v>31.66419274</v>
      </c>
      <c r="G27" s="5">
        <v>31.670138334</v>
      </c>
      <c r="H27" s="5">
        <v>62.457810225</v>
      </c>
      <c r="I27" s="5">
        <v>62.459195567</v>
      </c>
      <c r="J27" s="18">
        <f t="shared" si="2"/>
        <v>1.385342</v>
      </c>
    </row>
    <row r="28" ht="15.75" customHeight="1">
      <c r="A28" s="10">
        <v>26.0</v>
      </c>
      <c r="B28" s="5">
        <v>32.66539908</v>
      </c>
      <c r="C28" s="5">
        <v>32.672076404</v>
      </c>
      <c r="D28" s="21">
        <f t="shared" si="1"/>
        <v>6.677324</v>
      </c>
      <c r="E28" s="22">
        <f t="shared" si="3"/>
        <v>0.73173</v>
      </c>
      <c r="F28" s="5">
        <v>32.66539908</v>
      </c>
      <c r="G28" s="5">
        <v>32.672076404</v>
      </c>
      <c r="H28" s="5">
        <v>63.459938824</v>
      </c>
      <c r="I28" s="5">
        <v>63.461322256</v>
      </c>
      <c r="J28" s="18">
        <f t="shared" si="2"/>
        <v>1.383432</v>
      </c>
    </row>
    <row r="29" ht="15.75" customHeight="1">
      <c r="A29" s="6">
        <v>27.0</v>
      </c>
      <c r="B29" s="5">
        <v>33.66666612</v>
      </c>
      <c r="C29" s="5">
        <v>33.674414929</v>
      </c>
      <c r="D29" s="21">
        <f t="shared" si="1"/>
        <v>7.748809</v>
      </c>
      <c r="E29" s="21">
        <f t="shared" si="3"/>
        <v>1.071485</v>
      </c>
      <c r="F29" s="5">
        <v>33.66666612</v>
      </c>
      <c r="G29" s="5">
        <v>33.674414929</v>
      </c>
      <c r="H29" s="5">
        <v>64.461554197</v>
      </c>
      <c r="I29" s="5">
        <v>64.464321601</v>
      </c>
      <c r="J29" s="18">
        <f t="shared" si="2"/>
        <v>2.767404</v>
      </c>
    </row>
    <row r="30" ht="15.75" customHeight="1">
      <c r="A30" s="10">
        <v>28.0</v>
      </c>
      <c r="B30" s="5">
        <v>34.66840674</v>
      </c>
      <c r="C30" s="5">
        <v>34.809544007</v>
      </c>
      <c r="D30" s="21">
        <f t="shared" si="1"/>
        <v>141.137267</v>
      </c>
      <c r="E30" s="22">
        <f t="shared" si="3"/>
        <v>133.388458</v>
      </c>
      <c r="F30" s="5">
        <v>34.66840674</v>
      </c>
      <c r="G30" s="5">
        <v>34.809544007</v>
      </c>
      <c r="H30" s="5">
        <v>65.462776692</v>
      </c>
      <c r="I30" s="5">
        <v>65.464180704</v>
      </c>
      <c r="J30" s="18">
        <f t="shared" si="2"/>
        <v>1.404012</v>
      </c>
    </row>
    <row r="31" ht="15.75" customHeight="1">
      <c r="A31" s="6">
        <v>29.0</v>
      </c>
      <c r="B31" s="5">
        <v>35.67056397</v>
      </c>
      <c r="C31" s="5">
        <v>35.678047032</v>
      </c>
      <c r="D31" s="21">
        <f t="shared" si="1"/>
        <v>7.483062</v>
      </c>
      <c r="E31" s="21">
        <f t="shared" si="3"/>
        <v>-133.654205</v>
      </c>
      <c r="F31" s="5">
        <v>35.67056397</v>
      </c>
      <c r="G31" s="5">
        <v>35.678047032</v>
      </c>
      <c r="H31" s="5">
        <v>66.464806841</v>
      </c>
      <c r="I31" s="5">
        <v>66.466112834</v>
      </c>
      <c r="J31" s="18">
        <f t="shared" si="2"/>
        <v>1.305993</v>
      </c>
    </row>
    <row r="32" ht="15.75" customHeight="1">
      <c r="A32" s="10">
        <v>30.0</v>
      </c>
      <c r="B32" s="5">
        <v>36.67208732</v>
      </c>
      <c r="C32" s="5">
        <v>36.678881816</v>
      </c>
      <c r="D32" s="21">
        <f t="shared" si="1"/>
        <v>6.794496</v>
      </c>
      <c r="E32" s="22">
        <f t="shared" si="3"/>
        <v>-0.688566</v>
      </c>
      <c r="F32" s="5">
        <v>36.67208732</v>
      </c>
      <c r="G32" s="5">
        <v>36.678881816</v>
      </c>
      <c r="H32" s="5">
        <v>67.466066486</v>
      </c>
      <c r="I32" s="5">
        <v>67.467564547</v>
      </c>
      <c r="J32" s="18">
        <f t="shared" si="2"/>
        <v>1.498061</v>
      </c>
    </row>
    <row r="33" ht="15.75" customHeight="1">
      <c r="A33" s="6">
        <v>31.0</v>
      </c>
      <c r="B33" s="5">
        <v>37.67284611</v>
      </c>
      <c r="C33" s="5">
        <v>37.679414634</v>
      </c>
      <c r="D33" s="21">
        <f t="shared" si="1"/>
        <v>6.568524</v>
      </c>
      <c r="E33" s="21">
        <f t="shared" si="3"/>
        <v>-0.225972</v>
      </c>
      <c r="F33" s="5">
        <v>37.67284611</v>
      </c>
      <c r="G33" s="5">
        <v>37.679414634</v>
      </c>
      <c r="H33" s="5">
        <v>68.467870538</v>
      </c>
      <c r="I33" s="5">
        <v>68.469257991</v>
      </c>
      <c r="J33" s="18">
        <f t="shared" si="2"/>
        <v>1.387453</v>
      </c>
    </row>
    <row r="34" ht="15.75" customHeight="1">
      <c r="A34" s="10">
        <v>32.0</v>
      </c>
      <c r="B34" s="5">
        <v>38.67450435</v>
      </c>
      <c r="C34" s="5">
        <v>38.789515694</v>
      </c>
      <c r="D34" s="21">
        <f t="shared" si="1"/>
        <v>115.011344</v>
      </c>
      <c r="E34" s="22">
        <f t="shared" si="3"/>
        <v>108.44282</v>
      </c>
      <c r="F34" s="5">
        <v>38.67450435</v>
      </c>
      <c r="G34" s="5">
        <v>38.789515694</v>
      </c>
      <c r="H34" s="5">
        <v>69.46982789</v>
      </c>
      <c r="I34" s="5">
        <v>69.471202082</v>
      </c>
      <c r="J34" s="18">
        <f t="shared" si="2"/>
        <v>1.374192</v>
      </c>
    </row>
    <row r="35" ht="15.75" customHeight="1">
      <c r="A35" s="6">
        <v>33.0</v>
      </c>
      <c r="B35" s="5">
        <v>39.6757739</v>
      </c>
      <c r="C35" s="5">
        <v>39.761116765</v>
      </c>
      <c r="D35" s="21">
        <f t="shared" si="1"/>
        <v>85.342865</v>
      </c>
      <c r="E35" s="21">
        <f t="shared" si="3"/>
        <v>-29.668479</v>
      </c>
      <c r="F35" s="5">
        <v>39.6757739</v>
      </c>
      <c r="G35" s="5">
        <v>39.761116765</v>
      </c>
      <c r="H35" s="5">
        <v>70.471294723</v>
      </c>
      <c r="I35" s="5">
        <v>70.472670975</v>
      </c>
      <c r="J35" s="18">
        <f t="shared" si="2"/>
        <v>1.376252</v>
      </c>
    </row>
    <row r="36" ht="15.75" customHeight="1">
      <c r="A36" s="10">
        <v>34.0</v>
      </c>
      <c r="B36" s="5">
        <v>40.67731068</v>
      </c>
      <c r="C36" s="5">
        <v>40.684333345</v>
      </c>
      <c r="D36" s="21">
        <f t="shared" si="1"/>
        <v>7.022665</v>
      </c>
      <c r="E36" s="22">
        <f t="shared" si="3"/>
        <v>-78.3202</v>
      </c>
      <c r="F36" s="5">
        <v>40.67731068</v>
      </c>
      <c r="G36" s="5">
        <v>40.684333345</v>
      </c>
      <c r="H36" s="5">
        <v>71.472338698</v>
      </c>
      <c r="I36" s="5">
        <v>71.4737098</v>
      </c>
      <c r="J36" s="18">
        <f t="shared" si="2"/>
        <v>1.371102</v>
      </c>
    </row>
    <row r="37" ht="15.75" customHeight="1">
      <c r="A37" s="6">
        <v>35.0</v>
      </c>
      <c r="B37" s="5">
        <v>41.678422</v>
      </c>
      <c r="C37" s="5">
        <v>41.686863297</v>
      </c>
      <c r="D37" s="21">
        <f t="shared" si="1"/>
        <v>8.441297</v>
      </c>
      <c r="E37" s="21">
        <f t="shared" si="3"/>
        <v>1.418632</v>
      </c>
      <c r="F37" s="5">
        <v>41.678422</v>
      </c>
      <c r="G37" s="5">
        <v>41.686863297</v>
      </c>
      <c r="H37" s="5">
        <v>72.473065535</v>
      </c>
      <c r="I37" s="5">
        <v>72.474430847</v>
      </c>
      <c r="J37" s="18">
        <f t="shared" si="2"/>
        <v>1.365312</v>
      </c>
    </row>
    <row r="38" ht="15.75" customHeight="1">
      <c r="A38" s="10">
        <v>36.0</v>
      </c>
      <c r="B38" s="5">
        <v>42.68002643</v>
      </c>
      <c r="C38" s="5">
        <v>42.784498381</v>
      </c>
      <c r="D38" s="21">
        <f t="shared" si="1"/>
        <v>104.471951</v>
      </c>
      <c r="E38" s="22">
        <f t="shared" si="3"/>
        <v>96.030654</v>
      </c>
      <c r="F38" s="5">
        <v>42.68002643</v>
      </c>
      <c r="G38" s="5">
        <v>42.784498381</v>
      </c>
      <c r="H38" s="5">
        <v>73.474165901</v>
      </c>
      <c r="I38" s="5">
        <v>73.475794862</v>
      </c>
      <c r="J38" s="18">
        <f t="shared" si="2"/>
        <v>1.628961</v>
      </c>
    </row>
    <row r="39" ht="15.75" customHeight="1">
      <c r="A39" s="6">
        <v>37.0</v>
      </c>
      <c r="B39" s="5">
        <v>43.68134604</v>
      </c>
      <c r="C39" s="5">
        <v>43.753050581</v>
      </c>
      <c r="D39" s="21">
        <f t="shared" si="1"/>
        <v>71.704541</v>
      </c>
      <c r="E39" s="21">
        <f t="shared" si="3"/>
        <v>-32.76741</v>
      </c>
      <c r="F39" s="5">
        <v>43.68134604</v>
      </c>
      <c r="G39" s="5">
        <v>43.753050581</v>
      </c>
      <c r="H39" s="5">
        <v>74.475311717</v>
      </c>
      <c r="I39" s="5">
        <v>74.476856248</v>
      </c>
      <c r="J39" s="18">
        <f t="shared" si="2"/>
        <v>1.544531</v>
      </c>
    </row>
    <row r="40" ht="15.75" customHeight="1">
      <c r="A40" s="10">
        <v>38.0</v>
      </c>
      <c r="B40" s="5">
        <v>44.68190999</v>
      </c>
      <c r="C40" s="5">
        <v>44.690345445</v>
      </c>
      <c r="D40" s="21">
        <f t="shared" si="1"/>
        <v>8.435455</v>
      </c>
      <c r="E40" s="22">
        <f t="shared" si="3"/>
        <v>-63.269086</v>
      </c>
      <c r="F40" s="5">
        <v>44.68190999</v>
      </c>
      <c r="G40" s="5">
        <v>44.690345445</v>
      </c>
      <c r="H40" s="5">
        <v>75.47693892</v>
      </c>
      <c r="I40" s="5">
        <v>75.478393792</v>
      </c>
      <c r="J40" s="18">
        <f t="shared" si="2"/>
        <v>1.454872</v>
      </c>
    </row>
    <row r="41" ht="15.75" customHeight="1">
      <c r="A41" s="6">
        <v>39.0</v>
      </c>
      <c r="B41" s="5">
        <v>45.68308851</v>
      </c>
      <c r="C41" s="5">
        <v>45.689957684</v>
      </c>
      <c r="D41" s="21">
        <f t="shared" si="1"/>
        <v>6.869174</v>
      </c>
      <c r="E41" s="21">
        <f t="shared" si="3"/>
        <v>-1.566281</v>
      </c>
      <c r="F41" s="5">
        <v>45.68308851</v>
      </c>
      <c r="G41" s="5">
        <v>45.689957684</v>
      </c>
      <c r="H41" s="5">
        <v>76.478021797</v>
      </c>
      <c r="I41" s="5">
        <v>76.479406129</v>
      </c>
      <c r="J41" s="18">
        <f t="shared" si="2"/>
        <v>1.384332</v>
      </c>
    </row>
    <row r="42" ht="15.75" customHeight="1">
      <c r="A42" s="10">
        <v>40.0</v>
      </c>
      <c r="B42" s="5">
        <v>46.68388323</v>
      </c>
      <c r="C42" s="5">
        <v>46.7776009</v>
      </c>
      <c r="D42" s="21">
        <f t="shared" si="1"/>
        <v>93.71767</v>
      </c>
      <c r="E42" s="22">
        <f t="shared" si="3"/>
        <v>86.848496</v>
      </c>
      <c r="F42" s="5">
        <v>46.68388323</v>
      </c>
      <c r="G42" s="5">
        <v>46.7776009</v>
      </c>
      <c r="H42" s="5">
        <v>77.479023363</v>
      </c>
      <c r="I42" s="5">
        <v>77.480332855</v>
      </c>
      <c r="J42" s="18">
        <f t="shared" si="2"/>
        <v>1.309492</v>
      </c>
    </row>
    <row r="43" ht="15.75" customHeight="1">
      <c r="A43" s="6">
        <v>41.0</v>
      </c>
      <c r="B43" s="5">
        <v>47.68552289</v>
      </c>
      <c r="C43" s="5">
        <v>47.8022617</v>
      </c>
      <c r="D43" s="21">
        <f t="shared" si="1"/>
        <v>116.73881</v>
      </c>
      <c r="E43" s="21">
        <f t="shared" si="3"/>
        <v>23.02114</v>
      </c>
      <c r="F43" s="5">
        <v>47.68552289</v>
      </c>
      <c r="G43" s="5">
        <v>47.8022617</v>
      </c>
      <c r="H43" s="5">
        <v>78.48001792</v>
      </c>
      <c r="I43" s="5">
        <v>78.481445502</v>
      </c>
      <c r="J43" s="18">
        <f t="shared" si="2"/>
        <v>1.427582</v>
      </c>
    </row>
    <row r="44" ht="15.75" customHeight="1">
      <c r="A44" s="10">
        <v>42.0</v>
      </c>
      <c r="B44" s="5">
        <v>48.68709183</v>
      </c>
      <c r="C44" s="5">
        <v>48.929648499</v>
      </c>
      <c r="D44" s="21">
        <f t="shared" si="1"/>
        <v>242.556669</v>
      </c>
      <c r="E44" s="22">
        <f t="shared" si="3"/>
        <v>125.817859</v>
      </c>
      <c r="F44" s="5">
        <v>48.68709183</v>
      </c>
      <c r="G44" s="5">
        <v>48.929648499</v>
      </c>
      <c r="H44" s="5">
        <v>79.481131716</v>
      </c>
      <c r="I44" s="5">
        <v>79.482426358</v>
      </c>
      <c r="J44" s="18">
        <f t="shared" si="2"/>
        <v>1.294642</v>
      </c>
    </row>
    <row r="45" ht="15.75" customHeight="1">
      <c r="A45" s="6">
        <v>43.0</v>
      </c>
      <c r="B45" s="5">
        <v>49.68858426</v>
      </c>
      <c r="C45" s="5">
        <v>49.757694798</v>
      </c>
      <c r="D45" s="21">
        <f t="shared" si="1"/>
        <v>69.110538</v>
      </c>
      <c r="E45" s="21">
        <f t="shared" si="3"/>
        <v>-173.446131</v>
      </c>
      <c r="F45" s="5">
        <v>49.68858426</v>
      </c>
      <c r="G45" s="5">
        <v>49.757694798</v>
      </c>
      <c r="H45" s="5">
        <v>80.482349953</v>
      </c>
      <c r="I45" s="5">
        <v>80.483661265</v>
      </c>
      <c r="J45" s="18">
        <f t="shared" si="2"/>
        <v>1.311312</v>
      </c>
    </row>
    <row r="46" ht="15.75" customHeight="1">
      <c r="A46" s="10">
        <v>44.0</v>
      </c>
      <c r="B46" s="5">
        <v>50.69044209</v>
      </c>
      <c r="C46" s="5">
        <v>50.791990558</v>
      </c>
      <c r="D46" s="21">
        <f t="shared" si="1"/>
        <v>101.548468</v>
      </c>
      <c r="E46" s="22">
        <f t="shared" si="3"/>
        <v>32.43793</v>
      </c>
      <c r="F46" s="5">
        <v>50.69044209</v>
      </c>
      <c r="G46" s="5">
        <v>50.791990558</v>
      </c>
      <c r="H46" s="5">
        <v>81.483905267</v>
      </c>
      <c r="I46" s="5">
        <v>81.485374508</v>
      </c>
      <c r="J46" s="18">
        <f t="shared" si="2"/>
        <v>1.469241</v>
      </c>
    </row>
    <row r="47" ht="15.75" customHeight="1">
      <c r="A47" s="6">
        <v>45.0</v>
      </c>
      <c r="B47" s="5">
        <v>51.692473</v>
      </c>
      <c r="C47" s="5">
        <v>51.795269589</v>
      </c>
      <c r="D47" s="21">
        <f t="shared" si="1"/>
        <v>102.796589</v>
      </c>
      <c r="E47" s="21">
        <f t="shared" si="3"/>
        <v>1.248121</v>
      </c>
      <c r="F47" s="5">
        <v>51.692473</v>
      </c>
      <c r="G47" s="5">
        <v>51.795269589</v>
      </c>
      <c r="H47" s="5">
        <v>82.485654231</v>
      </c>
      <c r="I47" s="5">
        <v>82.486954873</v>
      </c>
      <c r="J47" s="18">
        <f t="shared" si="2"/>
        <v>1.300642</v>
      </c>
    </row>
    <row r="48" ht="15.75" customHeight="1">
      <c r="A48" s="10">
        <v>46.0</v>
      </c>
      <c r="B48" s="5">
        <v>52.69366898</v>
      </c>
      <c r="C48" s="5">
        <v>52.821073511</v>
      </c>
      <c r="D48" s="21">
        <f t="shared" si="1"/>
        <v>127.404531</v>
      </c>
      <c r="E48" s="22">
        <f t="shared" si="3"/>
        <v>24.607942</v>
      </c>
      <c r="F48" s="5">
        <v>52.69366898</v>
      </c>
      <c r="G48" s="5">
        <v>52.821073511</v>
      </c>
      <c r="H48" s="5">
        <v>83.486152811</v>
      </c>
      <c r="I48" s="5">
        <v>83.487475163</v>
      </c>
      <c r="J48" s="18">
        <f t="shared" si="2"/>
        <v>1.322352</v>
      </c>
    </row>
    <row r="49" ht="15.75" customHeight="1">
      <c r="A49" s="6">
        <v>47.0</v>
      </c>
      <c r="B49" s="5">
        <v>53.69559252</v>
      </c>
      <c r="C49" s="5">
        <v>53.740612899</v>
      </c>
      <c r="D49" s="21">
        <f t="shared" si="1"/>
        <v>45.020379</v>
      </c>
      <c r="E49" s="21">
        <f t="shared" si="3"/>
        <v>-82.384152</v>
      </c>
      <c r="F49" s="5">
        <v>53.69559252</v>
      </c>
      <c r="G49" s="5">
        <v>53.740612899</v>
      </c>
      <c r="H49" s="5">
        <v>84.487266498</v>
      </c>
      <c r="I49" s="5">
        <v>84.4885817</v>
      </c>
      <c r="J49" s="18">
        <f t="shared" si="2"/>
        <v>1.315202</v>
      </c>
    </row>
    <row r="50" ht="15.75" customHeight="1">
      <c r="A50" s="10">
        <v>48.0</v>
      </c>
      <c r="B50" s="5">
        <v>54.69693969</v>
      </c>
      <c r="C50" s="5">
        <v>54.765382505</v>
      </c>
      <c r="D50" s="21">
        <f t="shared" si="1"/>
        <v>68.442815</v>
      </c>
      <c r="E50" s="22">
        <f t="shared" si="3"/>
        <v>23.422436</v>
      </c>
      <c r="F50" s="5">
        <v>54.69693969</v>
      </c>
      <c r="G50" s="5">
        <v>54.765382505</v>
      </c>
      <c r="H50" s="5">
        <v>85.488952282</v>
      </c>
      <c r="I50" s="5">
        <v>85.490325344</v>
      </c>
      <c r="J50" s="18">
        <f t="shared" si="2"/>
        <v>1.373062</v>
      </c>
    </row>
    <row r="51" ht="15.75" customHeight="1">
      <c r="A51" s="6">
        <v>49.0</v>
      </c>
      <c r="B51" s="5">
        <v>55.69805401</v>
      </c>
      <c r="C51" s="5">
        <v>55.791258436</v>
      </c>
      <c r="D51" s="21">
        <f t="shared" si="1"/>
        <v>93.204426</v>
      </c>
      <c r="E51" s="21">
        <f t="shared" si="3"/>
        <v>24.761611</v>
      </c>
      <c r="F51" s="5">
        <v>55.69805401</v>
      </c>
      <c r="G51" s="5">
        <v>55.791258436</v>
      </c>
      <c r="H51" s="5">
        <v>86.490470347</v>
      </c>
      <c r="I51" s="5">
        <v>86.492406706</v>
      </c>
      <c r="J51" s="18">
        <f t="shared" si="2"/>
        <v>1.936359</v>
      </c>
    </row>
    <row r="52" ht="15.75" customHeight="1">
      <c r="A52" s="10">
        <v>50.0</v>
      </c>
      <c r="B52" s="5">
        <v>56.69943653</v>
      </c>
      <c r="C52" s="5">
        <v>56.815704808</v>
      </c>
      <c r="D52" s="21">
        <f t="shared" si="1"/>
        <v>116.268278</v>
      </c>
      <c r="E52" s="22">
        <f t="shared" si="3"/>
        <v>23.063852</v>
      </c>
      <c r="F52" s="5">
        <v>56.69943653</v>
      </c>
      <c r="G52" s="5">
        <v>56.815704808</v>
      </c>
      <c r="H52" s="5">
        <v>87.491360266</v>
      </c>
      <c r="I52" s="5">
        <v>87.492689468</v>
      </c>
      <c r="J52" s="18">
        <f t="shared" si="2"/>
        <v>1.329202</v>
      </c>
    </row>
    <row r="53" ht="15.75" customHeight="1">
      <c r="A53" s="6">
        <v>51.0</v>
      </c>
      <c r="B53" s="5">
        <v>57.70140078</v>
      </c>
      <c r="C53" s="5">
        <v>57.734392707</v>
      </c>
      <c r="D53" s="21">
        <f t="shared" si="1"/>
        <v>32.991927</v>
      </c>
      <c r="E53" s="21">
        <f t="shared" si="3"/>
        <v>-83.276351</v>
      </c>
      <c r="F53" s="5">
        <v>57.70140078</v>
      </c>
      <c r="G53" s="5">
        <v>57.734392707</v>
      </c>
      <c r="H53" s="5">
        <v>88.492498043</v>
      </c>
      <c r="I53" s="5">
        <v>88.493888875</v>
      </c>
      <c r="J53" s="18">
        <f t="shared" si="2"/>
        <v>1.390832</v>
      </c>
    </row>
    <row r="54" ht="15.75" customHeight="1">
      <c r="A54" s="10">
        <v>52.0</v>
      </c>
      <c r="B54" s="5">
        <v>58.70329758</v>
      </c>
      <c r="C54" s="5">
        <v>58.758478793</v>
      </c>
      <c r="D54" s="21">
        <f t="shared" si="1"/>
        <v>55.181213</v>
      </c>
      <c r="E54" s="22">
        <f t="shared" si="3"/>
        <v>22.189286</v>
      </c>
      <c r="F54" s="5">
        <v>58.70329758</v>
      </c>
      <c r="G54" s="5">
        <v>58.758478793</v>
      </c>
      <c r="H54" s="5">
        <v>89.493489221</v>
      </c>
      <c r="I54" s="5">
        <v>89.494757344</v>
      </c>
      <c r="J54" s="18">
        <f t="shared" si="2"/>
        <v>1.268123</v>
      </c>
    </row>
    <row r="55" ht="15.75" customHeight="1">
      <c r="A55" s="6">
        <v>53.0</v>
      </c>
      <c r="B55" s="5">
        <v>59.7039467</v>
      </c>
      <c r="C55" s="5">
        <v>59.782645537</v>
      </c>
      <c r="D55" s="21">
        <f t="shared" si="1"/>
        <v>78.698837</v>
      </c>
      <c r="E55" s="21">
        <f t="shared" si="3"/>
        <v>23.517624</v>
      </c>
      <c r="F55" s="5">
        <v>59.7039467</v>
      </c>
      <c r="G55" s="5">
        <v>59.782645537</v>
      </c>
      <c r="H55" s="5">
        <v>90.494896067</v>
      </c>
      <c r="I55" s="5">
        <v>90.4961855</v>
      </c>
      <c r="J55" s="18">
        <f t="shared" si="2"/>
        <v>1.289433</v>
      </c>
    </row>
    <row r="56" ht="15.75" customHeight="1">
      <c r="A56" s="10">
        <v>54.0</v>
      </c>
      <c r="B56" s="5">
        <v>60.70551871</v>
      </c>
      <c r="C56" s="5">
        <v>60.806475346</v>
      </c>
      <c r="D56" s="21">
        <f t="shared" si="1"/>
        <v>100.956636</v>
      </c>
      <c r="E56" s="22">
        <f t="shared" si="3"/>
        <v>22.257799</v>
      </c>
      <c r="F56" s="5">
        <v>60.70551871</v>
      </c>
      <c r="G56" s="5">
        <v>60.806475346</v>
      </c>
      <c r="H56" s="5">
        <v>91.49689527</v>
      </c>
      <c r="I56" s="5">
        <v>91.498207443</v>
      </c>
      <c r="J56" s="18">
        <f t="shared" si="2"/>
        <v>1.312173</v>
      </c>
    </row>
    <row r="57" ht="15.75" customHeight="1">
      <c r="A57" s="6">
        <v>55.0</v>
      </c>
      <c r="B57" s="5">
        <v>61.70707125</v>
      </c>
      <c r="C57" s="5">
        <v>61.830579211</v>
      </c>
      <c r="D57" s="21">
        <f t="shared" si="1"/>
        <v>123.507961</v>
      </c>
      <c r="E57" s="21">
        <f t="shared" si="3"/>
        <v>22.551325</v>
      </c>
      <c r="F57" s="5">
        <v>61.70707125</v>
      </c>
      <c r="G57" s="5">
        <v>61.830579211</v>
      </c>
      <c r="H57" s="5">
        <v>92.498798604</v>
      </c>
      <c r="I57" s="5">
        <v>92.499910127</v>
      </c>
      <c r="J57" s="18">
        <f t="shared" si="2"/>
        <v>1.111523</v>
      </c>
    </row>
    <row r="58" ht="15.75" customHeight="1">
      <c r="A58" s="10">
        <v>56.0</v>
      </c>
      <c r="B58" s="5">
        <v>62.70792837</v>
      </c>
      <c r="C58" s="5">
        <v>62.752365921</v>
      </c>
      <c r="D58" s="21">
        <f t="shared" si="1"/>
        <v>44.437551</v>
      </c>
      <c r="E58" s="22">
        <f t="shared" si="3"/>
        <v>-79.07041</v>
      </c>
      <c r="F58" s="5">
        <v>62.70792837</v>
      </c>
      <c r="G58" s="5">
        <v>62.752365921</v>
      </c>
      <c r="H58" s="5">
        <v>93.500881357</v>
      </c>
      <c r="I58" s="5">
        <v>93.502206549</v>
      </c>
      <c r="J58" s="18">
        <f t="shared" si="2"/>
        <v>1.325192</v>
      </c>
    </row>
    <row r="59" ht="15.75" customHeight="1">
      <c r="A59" s="6">
        <v>57.0</v>
      </c>
      <c r="B59" s="5">
        <v>63.70944035</v>
      </c>
      <c r="C59" s="5">
        <v>63.777791659</v>
      </c>
      <c r="D59" s="21">
        <f t="shared" si="1"/>
        <v>68.351309</v>
      </c>
      <c r="E59" s="21">
        <f t="shared" si="3"/>
        <v>23.913758</v>
      </c>
      <c r="F59" s="5">
        <v>63.70944035</v>
      </c>
      <c r="G59" s="5">
        <v>63.777791659</v>
      </c>
      <c r="H59" s="5">
        <v>94.502696101</v>
      </c>
      <c r="I59" s="5">
        <v>94.503993933</v>
      </c>
      <c r="J59" s="18">
        <f t="shared" si="2"/>
        <v>1.297832</v>
      </c>
    </row>
    <row r="60" ht="15.75" customHeight="1">
      <c r="A60" s="10">
        <v>58.0</v>
      </c>
      <c r="B60" s="5">
        <v>64.71128169</v>
      </c>
      <c r="C60" s="5">
        <v>64.800283695</v>
      </c>
      <c r="D60" s="21">
        <f t="shared" si="1"/>
        <v>89.002005</v>
      </c>
      <c r="E60" s="22">
        <f t="shared" si="3"/>
        <v>20.650696</v>
      </c>
      <c r="F60" s="5">
        <v>64.71128169</v>
      </c>
      <c r="G60" s="5">
        <v>64.800283695</v>
      </c>
      <c r="H60" s="5">
        <v>95.503533471</v>
      </c>
      <c r="I60" s="5">
        <v>95.504772273</v>
      </c>
      <c r="J60" s="18">
        <f t="shared" si="2"/>
        <v>1.238802</v>
      </c>
    </row>
    <row r="61" ht="15.75" customHeight="1">
      <c r="A61" s="6">
        <v>59.0</v>
      </c>
      <c r="B61" s="5">
        <v>65.71234572</v>
      </c>
      <c r="C61" s="5">
        <v>65.824288441</v>
      </c>
      <c r="D61" s="21">
        <f t="shared" si="1"/>
        <v>111.942721</v>
      </c>
      <c r="E61" s="21">
        <f t="shared" si="3"/>
        <v>22.940716</v>
      </c>
      <c r="F61" s="5">
        <v>65.71234572</v>
      </c>
      <c r="G61" s="5">
        <v>65.824288441</v>
      </c>
      <c r="H61" s="5">
        <v>96.504189351</v>
      </c>
      <c r="I61" s="5">
        <v>96.505476684</v>
      </c>
      <c r="J61" s="18">
        <f t="shared" si="2"/>
        <v>1.287333</v>
      </c>
    </row>
    <row r="62" ht="15.75" customHeight="1">
      <c r="A62" s="10">
        <v>60.0</v>
      </c>
      <c r="B62" s="5">
        <v>66.71287797</v>
      </c>
      <c r="C62" s="5">
        <v>66.746062958</v>
      </c>
      <c r="D62" s="21">
        <f t="shared" si="1"/>
        <v>33.184988</v>
      </c>
      <c r="E62" s="22">
        <f t="shared" si="3"/>
        <v>-78.757733</v>
      </c>
      <c r="F62" s="5">
        <v>66.71287797</v>
      </c>
      <c r="G62" s="5">
        <v>66.746062958</v>
      </c>
      <c r="H62" s="5">
        <v>97.505913986</v>
      </c>
      <c r="I62" s="5">
        <v>97.507203709</v>
      </c>
      <c r="J62" s="18">
        <f t="shared" si="2"/>
        <v>1.289723</v>
      </c>
    </row>
    <row r="63" ht="15.75" customHeight="1">
      <c r="A63" s="6">
        <v>61.0</v>
      </c>
      <c r="B63" s="5">
        <v>67.71400686</v>
      </c>
      <c r="C63" s="5">
        <v>67.770099672</v>
      </c>
      <c r="D63" s="21">
        <f t="shared" si="1"/>
        <v>56.092812</v>
      </c>
      <c r="E63" s="21">
        <f t="shared" si="3"/>
        <v>22.907824</v>
      </c>
      <c r="F63" s="5">
        <v>67.71400686</v>
      </c>
      <c r="G63" s="5">
        <v>67.770099672</v>
      </c>
      <c r="H63" s="5">
        <v>98.50787458</v>
      </c>
      <c r="I63" s="5">
        <v>98.509060783</v>
      </c>
      <c r="J63" s="18">
        <f t="shared" si="2"/>
        <v>1.186203</v>
      </c>
    </row>
    <row r="64" ht="15.75" customHeight="1">
      <c r="A64" s="10">
        <v>62.0</v>
      </c>
      <c r="B64" s="5">
        <v>68.7150439</v>
      </c>
      <c r="C64" s="5">
        <v>68.793844471</v>
      </c>
      <c r="D64" s="21">
        <f t="shared" si="1"/>
        <v>78.800571</v>
      </c>
      <c r="E64" s="22">
        <f t="shared" si="3"/>
        <v>22.707759</v>
      </c>
      <c r="F64" s="5">
        <v>68.7150439</v>
      </c>
      <c r="G64" s="5">
        <v>68.793844471</v>
      </c>
      <c r="H64" s="5">
        <v>99.509205496</v>
      </c>
      <c r="I64" s="5">
        <v>99.510524849</v>
      </c>
      <c r="J64" s="18">
        <f t="shared" si="2"/>
        <v>1.319353</v>
      </c>
    </row>
    <row r="65" ht="15.75" customHeight="1">
      <c r="A65" s="6">
        <v>63.0</v>
      </c>
      <c r="B65" s="5">
        <v>69.71587387</v>
      </c>
      <c r="C65" s="5">
        <v>69.821582497</v>
      </c>
      <c r="D65" s="21">
        <f t="shared" si="1"/>
        <v>105.708627</v>
      </c>
      <c r="E65" s="21">
        <f t="shared" si="3"/>
        <v>26.908056</v>
      </c>
      <c r="F65" s="5">
        <v>69.71587387</v>
      </c>
      <c r="G65" s="5">
        <v>69.821582497</v>
      </c>
      <c r="H65" s="5">
        <v>100.510064827</v>
      </c>
      <c r="I65" s="5">
        <v>100.511423359</v>
      </c>
      <c r="J65" s="18">
        <f t="shared" si="2"/>
        <v>1.358532</v>
      </c>
    </row>
    <row r="66" ht="15.75" customHeight="1">
      <c r="A66" s="10">
        <v>64.0</v>
      </c>
      <c r="B66" s="5">
        <v>70.71742088</v>
      </c>
      <c r="C66" s="5">
        <v>70.841766572</v>
      </c>
      <c r="D66" s="21">
        <f t="shared" si="1"/>
        <v>124.345692</v>
      </c>
      <c r="E66" s="22">
        <f t="shared" si="3"/>
        <v>18.637065</v>
      </c>
      <c r="F66" s="5">
        <v>70.71742088</v>
      </c>
      <c r="G66" s="5">
        <v>70.841766572</v>
      </c>
      <c r="H66" s="5">
        <v>101.511229074</v>
      </c>
      <c r="I66" s="5">
        <v>101.512842835</v>
      </c>
      <c r="J66" s="18">
        <f t="shared" si="2"/>
        <v>1.613761</v>
      </c>
    </row>
    <row r="67" ht="15.75" customHeight="1">
      <c r="A67" s="6">
        <v>65.0</v>
      </c>
      <c r="B67" s="5">
        <v>71.71918805</v>
      </c>
      <c r="C67" s="5">
        <v>71.765833369</v>
      </c>
      <c r="D67" s="21">
        <f t="shared" si="1"/>
        <v>46.645319</v>
      </c>
      <c r="E67" s="21">
        <f t="shared" si="3"/>
        <v>-77.700373</v>
      </c>
      <c r="F67" s="5">
        <v>71.71918805</v>
      </c>
      <c r="G67" s="5">
        <v>71.765833369</v>
      </c>
      <c r="H67" s="5">
        <v>102.512050984</v>
      </c>
      <c r="I67" s="5">
        <v>102.513579055</v>
      </c>
      <c r="J67" s="18">
        <f t="shared" si="2"/>
        <v>1.528071</v>
      </c>
    </row>
    <row r="68" ht="15.75" customHeight="1">
      <c r="A68" s="10">
        <v>66.0</v>
      </c>
      <c r="B68" s="5">
        <v>72.72006193</v>
      </c>
      <c r="C68" s="5">
        <v>72.788302045</v>
      </c>
      <c r="D68" s="21">
        <f t="shared" si="1"/>
        <v>68.240115</v>
      </c>
      <c r="E68" s="22">
        <f t="shared" si="3"/>
        <v>21.594796</v>
      </c>
      <c r="F68" s="5">
        <v>72.72006193</v>
      </c>
      <c r="G68" s="5">
        <v>72.788302045</v>
      </c>
      <c r="H68" s="5">
        <v>103.513243003</v>
      </c>
      <c r="I68" s="5">
        <v>103.515031402</v>
      </c>
      <c r="J68" s="18">
        <f t="shared" si="2"/>
        <v>1.788399</v>
      </c>
    </row>
    <row r="69" ht="15.75" customHeight="1">
      <c r="A69" s="6">
        <v>67.0</v>
      </c>
      <c r="B69" s="5">
        <v>73.72081451</v>
      </c>
      <c r="C69" s="5">
        <v>73.812097952</v>
      </c>
      <c r="D69" s="21">
        <f t="shared" si="1"/>
        <v>91.283442</v>
      </c>
      <c r="E69" s="21">
        <f t="shared" si="3"/>
        <v>23.043327</v>
      </c>
      <c r="F69" s="5">
        <v>73.72081451</v>
      </c>
      <c r="G69" s="5">
        <v>73.812097952</v>
      </c>
      <c r="H69" s="5">
        <v>104.514599181</v>
      </c>
      <c r="I69" s="5">
        <v>104.516009022</v>
      </c>
      <c r="J69" s="18">
        <f t="shared" si="2"/>
        <v>1.409841</v>
      </c>
    </row>
    <row r="70" ht="15.75" customHeight="1">
      <c r="A70" s="10">
        <v>68.0</v>
      </c>
      <c r="B70" s="5">
        <v>74.72205054</v>
      </c>
      <c r="C70" s="5">
        <v>74.835371757</v>
      </c>
      <c r="D70" s="21">
        <f t="shared" si="1"/>
        <v>113.321217</v>
      </c>
      <c r="E70" s="22">
        <f t="shared" si="3"/>
        <v>22.037775</v>
      </c>
      <c r="F70" s="5">
        <v>74.72205054</v>
      </c>
      <c r="G70" s="5">
        <v>74.835371757</v>
      </c>
      <c r="H70" s="5">
        <v>105.51588951</v>
      </c>
      <c r="I70" s="5">
        <v>105.517390371</v>
      </c>
      <c r="J70" s="18">
        <f t="shared" si="2"/>
        <v>1.500861</v>
      </c>
    </row>
    <row r="71" ht="15.75" customHeight="1">
      <c r="A71" s="6">
        <v>69.0</v>
      </c>
      <c r="B71" s="5">
        <v>75.72306391</v>
      </c>
      <c r="C71" s="5">
        <v>75.760007776</v>
      </c>
      <c r="D71" s="21">
        <f t="shared" si="1"/>
        <v>36.943866</v>
      </c>
      <c r="E71" s="21">
        <f t="shared" si="3"/>
        <v>-76.377351</v>
      </c>
      <c r="F71" s="5">
        <v>75.72306391</v>
      </c>
      <c r="G71" s="5">
        <v>75.760007776</v>
      </c>
      <c r="H71" s="5">
        <v>106.517234578</v>
      </c>
      <c r="I71" s="5">
        <v>106.519049308</v>
      </c>
      <c r="J71" s="18">
        <f t="shared" si="2"/>
        <v>1.81473</v>
      </c>
    </row>
    <row r="72" ht="15.75" customHeight="1">
      <c r="A72" s="10">
        <v>70.0</v>
      </c>
      <c r="B72" s="5">
        <v>76.72387797</v>
      </c>
      <c r="C72" s="5">
        <v>76.781037661</v>
      </c>
      <c r="D72" s="21">
        <f t="shared" si="1"/>
        <v>57.159691</v>
      </c>
      <c r="E72" s="22">
        <f t="shared" si="3"/>
        <v>20.215825</v>
      </c>
      <c r="F72" s="5">
        <v>76.72387797</v>
      </c>
      <c r="G72" s="5">
        <v>76.781037661</v>
      </c>
      <c r="H72" s="5">
        <v>107.518876124</v>
      </c>
      <c r="I72" s="5">
        <v>107.520243846</v>
      </c>
      <c r="J72" s="18">
        <f t="shared" si="2"/>
        <v>1.367722</v>
      </c>
    </row>
    <row r="73" ht="15.75" customHeight="1">
      <c r="A73" s="6">
        <v>71.0</v>
      </c>
      <c r="B73" s="5">
        <v>77.72540247</v>
      </c>
      <c r="C73" s="5">
        <v>77.805271583</v>
      </c>
      <c r="D73" s="21">
        <f t="shared" si="1"/>
        <v>79.869113</v>
      </c>
      <c r="E73" s="21">
        <f t="shared" si="3"/>
        <v>22.709422</v>
      </c>
      <c r="F73" s="5">
        <v>77.72540247</v>
      </c>
      <c r="G73" s="5">
        <v>77.805271583</v>
      </c>
      <c r="H73" s="5">
        <v>108.520016953</v>
      </c>
      <c r="I73" s="5">
        <v>108.521575874</v>
      </c>
      <c r="J73" s="18">
        <f t="shared" si="2"/>
        <v>1.558921</v>
      </c>
    </row>
    <row r="74" ht="15.75" customHeight="1">
      <c r="A74" s="10">
        <v>72.0</v>
      </c>
      <c r="B74" s="5">
        <v>78.72686788</v>
      </c>
      <c r="C74" s="5">
        <v>78.829448985</v>
      </c>
      <c r="D74" s="21">
        <f t="shared" si="1"/>
        <v>102.581105</v>
      </c>
      <c r="E74" s="22">
        <f t="shared" si="3"/>
        <v>22.711992</v>
      </c>
      <c r="F74" s="5">
        <v>78.72686788</v>
      </c>
      <c r="G74" s="5">
        <v>78.829448985</v>
      </c>
      <c r="H74" s="5">
        <v>109.521785249</v>
      </c>
      <c r="I74" s="5">
        <v>109.523291841</v>
      </c>
      <c r="J74" s="18">
        <f t="shared" si="2"/>
        <v>1.506592</v>
      </c>
    </row>
    <row r="75" ht="15.75" customHeight="1">
      <c r="A75" s="6">
        <v>73.0</v>
      </c>
      <c r="B75" s="5">
        <v>79.72795437</v>
      </c>
      <c r="C75" s="5">
        <v>79.853064805</v>
      </c>
      <c r="D75" s="21">
        <f t="shared" si="1"/>
        <v>125.110435</v>
      </c>
      <c r="E75" s="21">
        <f t="shared" si="3"/>
        <v>22.52933</v>
      </c>
      <c r="F75" s="5">
        <v>79.72795437</v>
      </c>
      <c r="G75" s="5">
        <v>79.853064805</v>
      </c>
      <c r="H75" s="5">
        <v>110.523949762</v>
      </c>
      <c r="I75" s="5">
        <v>110.525472153</v>
      </c>
      <c r="J75" s="18">
        <f t="shared" si="2"/>
        <v>1.522391</v>
      </c>
    </row>
    <row r="76" ht="15.75" customHeight="1">
      <c r="A76" s="10">
        <v>74.0</v>
      </c>
      <c r="B76" s="5">
        <v>80.72923989</v>
      </c>
      <c r="C76" s="5">
        <v>80.774817703</v>
      </c>
      <c r="D76" s="21">
        <f t="shared" si="1"/>
        <v>45.577813</v>
      </c>
      <c r="E76" s="22">
        <f t="shared" si="3"/>
        <v>-79.532622</v>
      </c>
      <c r="F76" s="5">
        <v>80.72923989</v>
      </c>
      <c r="G76" s="5">
        <v>80.774817703</v>
      </c>
      <c r="H76" s="5">
        <v>111.525791897</v>
      </c>
      <c r="I76" s="5">
        <v>111.527335508</v>
      </c>
      <c r="J76" s="18">
        <f t="shared" si="2"/>
        <v>1.543611</v>
      </c>
    </row>
    <row r="77" ht="15.75" customHeight="1">
      <c r="A77" s="6">
        <v>75.0</v>
      </c>
      <c r="B77" s="5">
        <v>81.73008207</v>
      </c>
      <c r="C77" s="5">
        <v>81.798903135</v>
      </c>
      <c r="D77" s="21">
        <f t="shared" si="1"/>
        <v>68.821065</v>
      </c>
      <c r="E77" s="21">
        <f t="shared" si="3"/>
        <v>23.243252</v>
      </c>
      <c r="F77" s="5">
        <v>81.73008207</v>
      </c>
      <c r="G77" s="5">
        <v>81.798903135</v>
      </c>
      <c r="H77" s="5">
        <v>112.527180126</v>
      </c>
      <c r="I77" s="5">
        <v>112.528582298</v>
      </c>
      <c r="J77" s="18">
        <f t="shared" si="2"/>
        <v>1.402172</v>
      </c>
    </row>
    <row r="78" ht="15.75" customHeight="1">
      <c r="A78" s="10">
        <v>76.0</v>
      </c>
      <c r="B78" s="5">
        <v>82.73155483</v>
      </c>
      <c r="C78" s="5">
        <v>82.823113298</v>
      </c>
      <c r="D78" s="21">
        <f t="shared" si="1"/>
        <v>91.558468</v>
      </c>
      <c r="E78" s="22">
        <f t="shared" si="3"/>
        <v>22.737403</v>
      </c>
      <c r="F78" s="5">
        <v>82.73155483</v>
      </c>
      <c r="G78" s="5">
        <v>82.823113298</v>
      </c>
      <c r="H78" s="5">
        <v>113.528464044</v>
      </c>
      <c r="I78" s="5">
        <v>113.529748817</v>
      </c>
      <c r="J78" s="18">
        <f t="shared" si="2"/>
        <v>1.284773</v>
      </c>
    </row>
    <row r="79" ht="15.75" customHeight="1">
      <c r="A79" s="6">
        <v>77.0</v>
      </c>
      <c r="B79" s="5">
        <v>83.7333093</v>
      </c>
      <c r="C79" s="5">
        <v>83.846973634</v>
      </c>
      <c r="D79" s="21">
        <f t="shared" si="1"/>
        <v>113.664334</v>
      </c>
      <c r="E79" s="21">
        <f t="shared" si="3"/>
        <v>22.105866</v>
      </c>
      <c r="F79" s="5">
        <v>83.7333093</v>
      </c>
      <c r="G79" s="5">
        <v>83.846973634</v>
      </c>
      <c r="H79" s="5">
        <v>114.529152406</v>
      </c>
      <c r="I79" s="5">
        <v>114.530502959</v>
      </c>
      <c r="J79" s="18">
        <f t="shared" si="2"/>
        <v>1.350553</v>
      </c>
    </row>
    <row r="80" ht="15.75" customHeight="1">
      <c r="A80" s="10">
        <v>78.0</v>
      </c>
      <c r="B80" s="5">
        <v>84.73429247</v>
      </c>
      <c r="C80" s="5">
        <v>84.770143612</v>
      </c>
      <c r="D80" s="21">
        <f t="shared" si="1"/>
        <v>35.851142</v>
      </c>
      <c r="E80" s="22">
        <f t="shared" si="3"/>
        <v>-77.813192</v>
      </c>
      <c r="F80" s="5">
        <v>84.73429247</v>
      </c>
      <c r="G80" s="5">
        <v>84.770143612</v>
      </c>
      <c r="H80" s="5">
        <v>115.530489145</v>
      </c>
      <c r="I80" s="5">
        <v>115.531824057</v>
      </c>
      <c r="J80" s="18">
        <f t="shared" si="2"/>
        <v>1.334912</v>
      </c>
    </row>
    <row r="81" ht="15.75" customHeight="1">
      <c r="A81" s="6">
        <v>79.0</v>
      </c>
      <c r="B81" s="5">
        <v>85.73544088</v>
      </c>
      <c r="C81" s="5">
        <v>85.792711616</v>
      </c>
      <c r="D81" s="21">
        <f t="shared" si="1"/>
        <v>57.270736</v>
      </c>
      <c r="E81" s="21">
        <f t="shared" si="3"/>
        <v>21.419594</v>
      </c>
      <c r="F81" s="5">
        <v>85.73544088</v>
      </c>
      <c r="G81" s="5">
        <v>85.792711616</v>
      </c>
      <c r="H81" s="5">
        <v>116.531953493</v>
      </c>
      <c r="I81" s="5">
        <v>116.533325675</v>
      </c>
      <c r="J81" s="18">
        <f t="shared" si="2"/>
        <v>1.372182</v>
      </c>
    </row>
    <row r="82" ht="15.75" customHeight="1">
      <c r="A82" s="10">
        <v>80.0</v>
      </c>
      <c r="B82" s="5">
        <v>86.73682123</v>
      </c>
      <c r="C82" s="5">
        <v>86.820206534</v>
      </c>
      <c r="D82" s="21">
        <f t="shared" si="1"/>
        <v>83.385304</v>
      </c>
      <c r="E82" s="22">
        <f t="shared" si="3"/>
        <v>26.114568</v>
      </c>
      <c r="F82" s="5">
        <v>86.73682123</v>
      </c>
      <c r="G82" s="5">
        <v>86.820206534</v>
      </c>
      <c r="H82" s="5">
        <v>117.532994374</v>
      </c>
      <c r="I82" s="5">
        <v>117.534433965</v>
      </c>
      <c r="J82" s="18">
        <f t="shared" si="2"/>
        <v>1.439591</v>
      </c>
    </row>
    <row r="83" ht="15.75" customHeight="1">
      <c r="A83" s="6">
        <v>81.0</v>
      </c>
      <c r="B83" s="5">
        <v>87.73826712</v>
      </c>
      <c r="C83" s="5">
        <v>87.848463382</v>
      </c>
      <c r="D83" s="21">
        <f t="shared" si="1"/>
        <v>110.196262</v>
      </c>
      <c r="E83" s="21">
        <f t="shared" si="3"/>
        <v>26.810958</v>
      </c>
      <c r="F83" s="5">
        <v>87.73826712</v>
      </c>
      <c r="G83" s="5">
        <v>87.848463382</v>
      </c>
      <c r="H83" s="5">
        <v>118.534026644</v>
      </c>
      <c r="I83" s="5">
        <v>118.535488326</v>
      </c>
      <c r="J83" s="18">
        <f t="shared" si="2"/>
        <v>1.461682</v>
      </c>
    </row>
    <row r="84" ht="15.75" customHeight="1">
      <c r="A84" s="10">
        <v>82.0</v>
      </c>
      <c r="B84" s="5">
        <v>88.73926272</v>
      </c>
      <c r="C84" s="5">
        <v>88.866391296</v>
      </c>
      <c r="D84" s="21">
        <f t="shared" si="1"/>
        <v>127.128576</v>
      </c>
      <c r="E84" s="22">
        <f t="shared" si="3"/>
        <v>16.932314</v>
      </c>
      <c r="F84" s="5">
        <v>88.73926272</v>
      </c>
      <c r="G84" s="5">
        <v>88.866391296</v>
      </c>
      <c r="H84" s="5">
        <v>119.535127234</v>
      </c>
      <c r="I84" s="5">
        <v>119.536385386</v>
      </c>
      <c r="J84" s="18">
        <f t="shared" si="2"/>
        <v>1.258152</v>
      </c>
    </row>
    <row r="85" ht="15.75" customHeight="1">
      <c r="A85" s="6">
        <v>83.0</v>
      </c>
      <c r="B85" s="5">
        <v>89.7400163</v>
      </c>
      <c r="C85" s="5">
        <v>89.785988551</v>
      </c>
      <c r="D85" s="21">
        <f t="shared" si="1"/>
        <v>45.972251</v>
      </c>
      <c r="E85" s="21">
        <f t="shared" si="3"/>
        <v>-81.156325</v>
      </c>
      <c r="F85" s="5">
        <v>89.7400163</v>
      </c>
      <c r="G85" s="5">
        <v>89.785988551</v>
      </c>
      <c r="H85" s="5">
        <v>120.53684644</v>
      </c>
      <c r="I85" s="5">
        <v>120.538319231</v>
      </c>
      <c r="J85" s="18">
        <f t="shared" si="2"/>
        <v>1.472791</v>
      </c>
    </row>
    <row r="86" ht="15.75" customHeight="1">
      <c r="A86" s="10">
        <v>84.0</v>
      </c>
      <c r="B86" s="5">
        <v>90.74076777</v>
      </c>
      <c r="C86" s="5">
        <v>90.810336701</v>
      </c>
      <c r="D86" s="21">
        <f t="shared" si="1"/>
        <v>69.568931</v>
      </c>
      <c r="E86" s="22">
        <f t="shared" si="3"/>
        <v>23.59668</v>
      </c>
      <c r="F86" s="5">
        <v>90.74076777</v>
      </c>
      <c r="G86" s="5">
        <v>90.810336701</v>
      </c>
      <c r="H86" s="5">
        <v>121.538983384</v>
      </c>
      <c r="I86" s="5">
        <v>121.540447406</v>
      </c>
      <c r="J86" s="18">
        <f t="shared" si="2"/>
        <v>1.464022</v>
      </c>
    </row>
    <row r="87" ht="15.75" customHeight="1">
      <c r="A87" s="6">
        <v>85.0</v>
      </c>
      <c r="B87" s="5">
        <v>91.74204818</v>
      </c>
      <c r="C87" s="5">
        <v>91.834036419</v>
      </c>
      <c r="D87" s="21">
        <f t="shared" si="1"/>
        <v>91.988239</v>
      </c>
      <c r="E87" s="21">
        <f t="shared" si="3"/>
        <v>22.419308</v>
      </c>
      <c r="F87" s="5">
        <v>91.74204818</v>
      </c>
      <c r="G87" s="5">
        <v>91.834036419</v>
      </c>
      <c r="H87" s="5">
        <v>122.54049586</v>
      </c>
      <c r="I87" s="5">
        <v>122.542025481</v>
      </c>
      <c r="J87" s="18">
        <f t="shared" si="2"/>
        <v>1.529621</v>
      </c>
    </row>
    <row r="88" ht="15.75" customHeight="1">
      <c r="A88" s="10">
        <v>86.0</v>
      </c>
      <c r="B88" s="5">
        <v>92.74298076</v>
      </c>
      <c r="C88" s="5">
        <v>92.860157145</v>
      </c>
      <c r="D88" s="21">
        <f t="shared" si="1"/>
        <v>117.176385</v>
      </c>
      <c r="E88" s="22">
        <f t="shared" si="3"/>
        <v>25.188146</v>
      </c>
      <c r="F88" s="5">
        <v>92.74298076</v>
      </c>
      <c r="G88" s="5">
        <v>92.860157145</v>
      </c>
      <c r="H88" s="5">
        <v>123.54162474</v>
      </c>
      <c r="I88" s="5">
        <v>123.543063221</v>
      </c>
      <c r="J88" s="18">
        <f t="shared" si="2"/>
        <v>1.438481</v>
      </c>
    </row>
    <row r="89" ht="15.75" customHeight="1">
      <c r="A89" s="6">
        <v>87.0</v>
      </c>
      <c r="B89" s="5">
        <v>93.74377613</v>
      </c>
      <c r="C89" s="5">
        <v>93.779921308</v>
      </c>
      <c r="D89" s="21">
        <f t="shared" si="1"/>
        <v>36.145178</v>
      </c>
      <c r="E89" s="21">
        <f t="shared" si="3"/>
        <v>-81.031207</v>
      </c>
      <c r="F89" s="5">
        <v>93.74377613</v>
      </c>
      <c r="G89" s="5">
        <v>93.779921308</v>
      </c>
      <c r="H89" s="5">
        <v>124.542006314</v>
      </c>
      <c r="I89" s="5">
        <v>124.543337796</v>
      </c>
      <c r="J89" s="18">
        <f t="shared" si="2"/>
        <v>1.331482</v>
      </c>
    </row>
    <row r="90" ht="15.75" customHeight="1">
      <c r="A90" s="10">
        <v>88.0</v>
      </c>
      <c r="B90" s="5">
        <v>94.74526384</v>
      </c>
      <c r="C90" s="5">
        <v>94.803946233</v>
      </c>
      <c r="D90" s="21">
        <f t="shared" si="1"/>
        <v>58.682393</v>
      </c>
      <c r="E90" s="22">
        <f t="shared" si="3"/>
        <v>22.537215</v>
      </c>
      <c r="F90" s="5">
        <v>94.74526384</v>
      </c>
      <c r="G90" s="5">
        <v>94.803946233</v>
      </c>
      <c r="H90" s="5">
        <v>125.543871548</v>
      </c>
      <c r="I90" s="5">
        <v>125.54519722</v>
      </c>
      <c r="J90" s="18">
        <f t="shared" si="2"/>
        <v>1.325672</v>
      </c>
    </row>
    <row r="91" ht="15.75" customHeight="1">
      <c r="A91" s="6">
        <v>89.0</v>
      </c>
      <c r="B91" s="5">
        <v>95.74619306</v>
      </c>
      <c r="C91" s="5">
        <v>95.77626554</v>
      </c>
      <c r="D91" s="21">
        <f t="shared" si="1"/>
        <v>30.07248</v>
      </c>
      <c r="E91" s="21">
        <f t="shared" si="3"/>
        <v>-28.609913</v>
      </c>
      <c r="F91" s="5">
        <v>95.74619306</v>
      </c>
      <c r="G91" s="5">
        <v>95.77626554</v>
      </c>
      <c r="H91" s="5">
        <v>126.544997761</v>
      </c>
      <c r="I91" s="5">
        <v>126.546408753</v>
      </c>
      <c r="J91" s="18">
        <f t="shared" si="2"/>
        <v>1.410992</v>
      </c>
    </row>
    <row r="92" ht="15.75" customHeight="1">
      <c r="A92" s="10">
        <v>90.0</v>
      </c>
      <c r="B92" s="5">
        <v>96.74698935</v>
      </c>
      <c r="C92" s="5">
        <v>96.851906651</v>
      </c>
      <c r="D92" s="21">
        <f t="shared" si="1"/>
        <v>104.917301</v>
      </c>
      <c r="E92" s="22">
        <f t="shared" si="3"/>
        <v>74.844821</v>
      </c>
      <c r="F92" s="5">
        <v>96.74698935</v>
      </c>
      <c r="G92" s="5">
        <v>96.851906651</v>
      </c>
      <c r="H92" s="5">
        <v>127.546100741</v>
      </c>
      <c r="I92" s="5">
        <v>127.547587503</v>
      </c>
      <c r="J92" s="18">
        <f t="shared" si="2"/>
        <v>1.486762</v>
      </c>
    </row>
    <row r="93" ht="15.75" customHeight="1">
      <c r="A93" s="6">
        <v>91.0</v>
      </c>
      <c r="B93" s="5">
        <v>97.74759741</v>
      </c>
      <c r="C93" s="5">
        <v>97.875211564</v>
      </c>
      <c r="D93" s="21">
        <f t="shared" si="1"/>
        <v>127.614154</v>
      </c>
      <c r="E93" s="21">
        <f t="shared" si="3"/>
        <v>22.696853</v>
      </c>
      <c r="F93" s="5">
        <v>97.74759741</v>
      </c>
      <c r="G93" s="5">
        <v>97.875211564</v>
      </c>
      <c r="H93" s="5">
        <v>128.547179183</v>
      </c>
      <c r="I93" s="5">
        <v>128.548504805</v>
      </c>
      <c r="J93" s="18">
        <f t="shared" si="2"/>
        <v>1.325622</v>
      </c>
    </row>
    <row r="94" ht="15.75" customHeight="1">
      <c r="A94" s="10">
        <v>92.0</v>
      </c>
      <c r="B94" s="5">
        <v>98.74863762</v>
      </c>
      <c r="C94" s="5">
        <v>98.801754416</v>
      </c>
      <c r="D94" s="21">
        <f t="shared" si="1"/>
        <v>53.116796</v>
      </c>
      <c r="E94" s="22">
        <f t="shared" si="3"/>
        <v>-74.497358</v>
      </c>
      <c r="F94" s="5">
        <v>98.74863762</v>
      </c>
      <c r="G94" s="5">
        <v>98.801754416</v>
      </c>
      <c r="H94" s="5">
        <v>129.548013955</v>
      </c>
      <c r="I94" s="5">
        <v>129.549446007</v>
      </c>
      <c r="J94" s="18">
        <f t="shared" si="2"/>
        <v>1.432052</v>
      </c>
    </row>
    <row r="95" ht="15.75" customHeight="1">
      <c r="A95" s="6">
        <v>93.0</v>
      </c>
      <c r="B95" s="5">
        <v>99.74962124</v>
      </c>
      <c r="C95" s="5">
        <v>99.821820893</v>
      </c>
      <c r="D95" s="21">
        <f t="shared" si="1"/>
        <v>72.199653</v>
      </c>
      <c r="E95" s="21">
        <f t="shared" si="3"/>
        <v>19.082857</v>
      </c>
      <c r="F95" s="5">
        <v>99.74962124</v>
      </c>
      <c r="G95" s="5">
        <v>99.821820893</v>
      </c>
      <c r="H95" s="5">
        <v>130.549050308</v>
      </c>
      <c r="I95" s="5">
        <v>130.550515519</v>
      </c>
      <c r="J95" s="18">
        <f t="shared" si="2"/>
        <v>1.465211</v>
      </c>
    </row>
    <row r="96" ht="15.75" customHeight="1">
      <c r="A96" s="10">
        <v>94.0</v>
      </c>
      <c r="B96" s="5">
        <v>100.75116305</v>
      </c>
      <c r="C96" s="5">
        <v>100.845828767</v>
      </c>
      <c r="D96" s="21">
        <f t="shared" si="1"/>
        <v>94.665717</v>
      </c>
      <c r="E96" s="22">
        <f t="shared" si="3"/>
        <v>22.466064</v>
      </c>
      <c r="F96" s="5">
        <v>100.75116305</v>
      </c>
      <c r="G96" s="5">
        <v>100.845828767</v>
      </c>
      <c r="H96" s="5">
        <v>131.55001672</v>
      </c>
      <c r="I96" s="5">
        <v>131.551551851</v>
      </c>
      <c r="J96" s="18">
        <f t="shared" si="2"/>
        <v>1.535131</v>
      </c>
    </row>
    <row r="97" ht="15.75" customHeight="1">
      <c r="A97" s="6">
        <v>95.0</v>
      </c>
      <c r="B97" s="5">
        <v>101.75254753</v>
      </c>
      <c r="C97" s="5">
        <v>101.870239216</v>
      </c>
      <c r="D97" s="21">
        <f t="shared" si="1"/>
        <v>117.691686</v>
      </c>
      <c r="E97" s="21">
        <f t="shared" si="3"/>
        <v>23.025969</v>
      </c>
      <c r="F97" s="5">
        <v>101.75254753</v>
      </c>
      <c r="G97" s="5">
        <v>101.870239216</v>
      </c>
      <c r="H97" s="5">
        <v>132.551059653</v>
      </c>
      <c r="I97" s="5">
        <v>132.552648543</v>
      </c>
      <c r="J97" s="18">
        <f t="shared" si="2"/>
        <v>1.58889</v>
      </c>
    </row>
    <row r="98" ht="15.75" customHeight="1">
      <c r="A98" s="10">
        <v>96.0</v>
      </c>
      <c r="B98" s="5">
        <v>102.75388117</v>
      </c>
      <c r="C98" s="5">
        <v>102.792788972</v>
      </c>
      <c r="D98" s="21">
        <f t="shared" si="1"/>
        <v>38.907802</v>
      </c>
      <c r="E98" s="22">
        <f t="shared" si="3"/>
        <v>-78.783884</v>
      </c>
      <c r="F98" s="5">
        <v>102.75388117</v>
      </c>
      <c r="G98" s="5">
        <v>102.792788972</v>
      </c>
      <c r="H98" s="5">
        <v>133.552424733</v>
      </c>
      <c r="I98" s="5">
        <v>133.553811645</v>
      </c>
      <c r="J98" s="18">
        <f t="shared" si="2"/>
        <v>1.386912</v>
      </c>
    </row>
    <row r="99" ht="15.75" customHeight="1">
      <c r="A99" s="6">
        <v>97.0</v>
      </c>
      <c r="B99" s="5">
        <v>103.75492158</v>
      </c>
      <c r="C99" s="5">
        <v>103.816750917</v>
      </c>
      <c r="D99" s="21">
        <f t="shared" si="1"/>
        <v>61.829337</v>
      </c>
      <c r="E99" s="21">
        <f t="shared" si="3"/>
        <v>22.921535</v>
      </c>
      <c r="F99" s="5">
        <v>103.75492158</v>
      </c>
      <c r="G99" s="5">
        <v>103.816750917</v>
      </c>
      <c r="H99" s="5">
        <v>134.553629854</v>
      </c>
      <c r="I99" s="5">
        <v>134.555042196</v>
      </c>
      <c r="J99" s="18">
        <f t="shared" si="2"/>
        <v>1.412342</v>
      </c>
    </row>
    <row r="100" ht="15.75" customHeight="1">
      <c r="A100" s="10">
        <v>98.0</v>
      </c>
      <c r="B100" s="5">
        <v>104.75593409</v>
      </c>
      <c r="C100" s="5">
        <v>104.78106947</v>
      </c>
      <c r="D100" s="21">
        <f t="shared" si="1"/>
        <v>25.13538</v>
      </c>
      <c r="E100" s="22">
        <f t="shared" si="3"/>
        <v>-36.693957</v>
      </c>
      <c r="F100" s="5">
        <v>104.75593409</v>
      </c>
      <c r="G100" s="5">
        <v>104.78106947</v>
      </c>
      <c r="H100" s="5">
        <v>135.55412557</v>
      </c>
      <c r="I100" s="5">
        <v>135.555475082</v>
      </c>
      <c r="J100" s="18">
        <f t="shared" si="2"/>
        <v>1.349512</v>
      </c>
    </row>
    <row r="101" ht="15.75" customHeight="1">
      <c r="A101" s="6">
        <v>99.0</v>
      </c>
      <c r="B101" s="5">
        <v>105.75712525</v>
      </c>
      <c r="C101" s="5">
        <v>105.767754487</v>
      </c>
      <c r="D101" s="21">
        <f t="shared" si="1"/>
        <v>10.629237</v>
      </c>
      <c r="E101" s="21">
        <f t="shared" si="3"/>
        <v>-14.506143</v>
      </c>
      <c r="F101" s="5">
        <v>105.75712525</v>
      </c>
      <c r="G101" s="5">
        <v>105.767754487</v>
      </c>
      <c r="H101" s="5">
        <v>136.555952958</v>
      </c>
      <c r="I101" s="5">
        <v>136.55724831</v>
      </c>
      <c r="J101" s="18">
        <f t="shared" si="2"/>
        <v>1.295352</v>
      </c>
    </row>
    <row r="102" ht="15.75" customHeight="1">
      <c r="A102" s="10">
        <v>100.0</v>
      </c>
      <c r="B102" s="5">
        <v>106.75861062</v>
      </c>
      <c r="C102" s="5">
        <v>106.900553822</v>
      </c>
      <c r="D102" s="21">
        <f t="shared" si="1"/>
        <v>141.943202</v>
      </c>
      <c r="E102" s="22">
        <f t="shared" si="3"/>
        <v>131.313965</v>
      </c>
      <c r="F102" s="5">
        <v>106.75861062</v>
      </c>
      <c r="G102" s="5">
        <v>106.900553822</v>
      </c>
      <c r="H102" s="5">
        <v>137.5571349</v>
      </c>
      <c r="I102" s="5">
        <v>137.558742321</v>
      </c>
      <c r="J102" s="18">
        <f t="shared" si="2"/>
        <v>1.607421</v>
      </c>
    </row>
    <row r="103" ht="15.75" customHeight="1"/>
    <row r="104" ht="15.75" customHeight="1"/>
    <row r="105" ht="15.75" customHeight="1">
      <c r="A105" s="23" t="s">
        <v>45</v>
      </c>
      <c r="B105" s="3"/>
      <c r="G105" s="23" t="s">
        <v>46</v>
      </c>
      <c r="H105" s="3"/>
    </row>
    <row r="106" ht="15.75" customHeight="1">
      <c r="A106" s="18" t="s">
        <v>47</v>
      </c>
      <c r="C106" s="21">
        <f>COUNTA(D3:D102)</f>
        <v>100</v>
      </c>
      <c r="G106" s="18" t="s">
        <v>47</v>
      </c>
      <c r="I106" s="21">
        <f>COUNTA(I4:I103)</f>
        <v>99</v>
      </c>
    </row>
    <row r="107" ht="15.75" customHeight="1">
      <c r="A107" s="18" t="s">
        <v>31</v>
      </c>
      <c r="C107" s="21">
        <f>MIN(D3:D102)</f>
        <v>5.623591</v>
      </c>
      <c r="G107" s="18" t="s">
        <v>31</v>
      </c>
      <c r="H107" s="5" t="s">
        <v>48</v>
      </c>
      <c r="I107" s="21">
        <f>MIN(J4:J102)</f>
        <v>1.111523</v>
      </c>
    </row>
    <row r="108" ht="15.75" customHeight="1">
      <c r="A108" s="18" t="s">
        <v>32</v>
      </c>
      <c r="C108" s="21">
        <f>MAX(D3:D102)</f>
        <v>306.664306</v>
      </c>
      <c r="G108" s="18" t="s">
        <v>32</v>
      </c>
      <c r="I108" s="21">
        <f>MAX(J4:J102)</f>
        <v>2.767404</v>
      </c>
    </row>
    <row r="109" ht="15.75" customHeight="1">
      <c r="A109" s="18" t="s">
        <v>33</v>
      </c>
      <c r="C109" s="21">
        <f>AVERAGE(D3:D102)</f>
        <v>69.6247805</v>
      </c>
      <c r="G109" s="18" t="s">
        <v>33</v>
      </c>
      <c r="I109" s="21">
        <f>AVERAGE(J4:J102)</f>
        <v>1.422109717</v>
      </c>
    </row>
    <row r="110" ht="15.75" customHeight="1">
      <c r="A110" s="18" t="s">
        <v>34</v>
      </c>
      <c r="C110" s="21">
        <f>MEDIAN(D3:D102)</f>
        <v>68.397062</v>
      </c>
      <c r="G110" s="18" t="s">
        <v>34</v>
      </c>
      <c r="I110" s="21">
        <f>MEDIAN(J4:J102)</f>
        <v>1.385342</v>
      </c>
    </row>
    <row r="111" ht="15.75" customHeight="1">
      <c r="A111" s="18" t="s">
        <v>35</v>
      </c>
      <c r="C111" s="21">
        <f>STDEV(D3:D102)</f>
        <v>55.0695188</v>
      </c>
      <c r="G111" s="18" t="s">
        <v>35</v>
      </c>
      <c r="I111" s="21">
        <f>STDEV(J4:J102)</f>
        <v>0.1896387552</v>
      </c>
    </row>
    <row r="112" ht="15.75" customHeight="1">
      <c r="A112" s="18" t="s">
        <v>36</v>
      </c>
      <c r="C112" s="21">
        <f>PERCENTILE(D3:D102,0.95)</f>
        <v>142.1389915</v>
      </c>
      <c r="G112" s="18" t="s">
        <v>36</v>
      </c>
      <c r="I112" s="21">
        <f>PERCENTILE(J4:J102,0.95)</f>
        <v>1.6409409</v>
      </c>
    </row>
    <row r="113" ht="15.75" customHeight="1"/>
    <row r="114" ht="15.75" customHeight="1"/>
    <row r="115" ht="15.75" customHeight="1"/>
    <row r="116" ht="15.75" customHeight="1">
      <c r="H116" s="5" t="s">
        <v>49</v>
      </c>
      <c r="I116" s="5" t="s">
        <v>50</v>
      </c>
      <c r="J116" s="5" t="s">
        <v>51</v>
      </c>
      <c r="K116" s="5" t="s">
        <v>52</v>
      </c>
    </row>
    <row r="117" ht="15.75" customHeight="1">
      <c r="G117" s="5" t="s">
        <v>6</v>
      </c>
      <c r="H117" s="24">
        <f>MIN(netlat)</f>
        <v>5.623591</v>
      </c>
      <c r="I117" s="18">
        <f>QUARTILE(netlat,1)</f>
        <v>17.63983325</v>
      </c>
      <c r="J117" s="18">
        <f>QUARTILE(netlat,3)</f>
        <v>105.1151325</v>
      </c>
      <c r="K117" s="24">
        <f>max(netlat)</f>
        <v>306.664306</v>
      </c>
    </row>
    <row r="118" ht="15.75" customHeight="1"/>
    <row r="119" ht="15.75" customHeight="1"/>
    <row r="120" ht="15.75" customHeight="1"/>
    <row r="121" ht="15.75" customHeight="1">
      <c r="H121" s="5" t="s">
        <v>49</v>
      </c>
      <c r="I121" s="5" t="s">
        <v>50</v>
      </c>
      <c r="J121" s="5" t="s">
        <v>51</v>
      </c>
      <c r="K121" s="5" t="s">
        <v>52</v>
      </c>
    </row>
    <row r="122" ht="15.75" customHeight="1">
      <c r="G122" s="5" t="s">
        <v>6</v>
      </c>
      <c r="H122" s="18">
        <f>MIN(lclat)</f>
        <v>1.111523</v>
      </c>
      <c r="I122" s="18">
        <f>QUARTILE(lclat,1)</f>
        <v>1.32160225</v>
      </c>
      <c r="J122" s="18">
        <f>QUARTILE(lclat,3)</f>
        <v>1.4756385</v>
      </c>
      <c r="K122" s="18">
        <f>max(lclat)</f>
        <v>2.767404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F2:G2"/>
    <mergeCell ref="H2:I2"/>
    <mergeCell ref="A105:B105"/>
    <mergeCell ref="G105:H105"/>
  </mergeCells>
  <printOptions/>
  <pageMargins bottom="1.0" footer="0.0" header="0.0" left="0.75" right="0.75" top="1.0"/>
  <pageSetup orientation="landscape"/>
  <drawing r:id="rId1"/>
</worksheet>
</file>